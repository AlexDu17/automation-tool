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等级分布" sheetId="17" r:id="rId1"/>
    <sheet name="各科平均分" sheetId="18" r:id="rId2"/>
    <sheet name="总分成绩" sheetId="16" r:id="rId3"/>
    <sheet name="语文成绩" sheetId="7" r:id="rId4"/>
    <sheet name="数学成绩" sheetId="8" r:id="rId5"/>
    <sheet name="英语成绩" sheetId="15" r:id="rId6"/>
    <sheet name="历史成绩" sheetId="10" r:id="rId7"/>
    <sheet name="道德与法治成绩" sheetId="11" r:id="rId8"/>
    <sheet name="物理成绩" sheetId="14" r:id="rId9"/>
    <sheet name="化学成绩" sheetId="13" r:id="rId10"/>
    <sheet name="原始成绩" sheetId="1" r:id="rId11"/>
    <sheet name="英语笔试成绩" sheetId="9" r:id="rId12"/>
    <sheet name="英语听说成绩" sheetId="12" r:id="rId13"/>
    <sheet name="01" sheetId="2" r:id="rId14"/>
    <sheet name="02" sheetId="3" r:id="rId15"/>
    <sheet name="03" sheetId="4" r:id="rId16"/>
    <sheet name="04" sheetId="5" r:id="rId17"/>
    <sheet name="05" sheetId="6" r:id="rId18"/>
  </sheets>
  <definedNames>
    <definedName name="_xlnm._FilterDatabase" localSheetId="10" hidden="1">原始成绩!$D$1:$D$228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<sst xmlns="http://schemas.openxmlformats.org/spreadsheetml/2006/main" count="9736" uniqueCount="548">
  <si>
    <t>各学科等级人数及占比</t>
  </si>
  <si>
    <t>二模总分</t>
  </si>
  <si>
    <t>A+</t>
  </si>
  <si>
    <t>A</t>
  </si>
  <si>
    <t>A以上</t>
  </si>
  <si>
    <t>B+</t>
  </si>
  <si>
    <t>B+以上</t>
  </si>
  <si>
    <t>B</t>
  </si>
  <si>
    <t>B以上</t>
  </si>
  <si>
    <t>C+</t>
  </si>
  <si>
    <t>C</t>
  </si>
  <si>
    <t>人数</t>
  </si>
  <si>
    <t>占比</t>
  </si>
  <si>
    <t>整体</t>
  </si>
  <si>
    <t>语文等级人数及占比</t>
  </si>
  <si>
    <t>语文</t>
  </si>
  <si>
    <t>数学等级人数及占比</t>
  </si>
  <si>
    <t>数学</t>
  </si>
  <si>
    <t>英语等级人数及占比</t>
  </si>
  <si>
    <t>英语</t>
  </si>
  <si>
    <t>物理等级人数及占比</t>
  </si>
  <si>
    <t>物理</t>
  </si>
  <si>
    <t>化学等级人数及占比</t>
  </si>
  <si>
    <t>化学</t>
  </si>
  <si>
    <t>历史等级人数及占比</t>
  </si>
  <si>
    <t>历史</t>
  </si>
  <si>
    <t>道法等级人数及占比</t>
  </si>
  <si>
    <t>道法</t>
  </si>
  <si>
    <t>教师</t>
  </si>
  <si>
    <t>均分</t>
  </si>
  <si>
    <t>排名</t>
  </si>
  <si>
    <t>黄佳慧</t>
  </si>
  <si>
    <t>卓文婷</t>
  </si>
  <si>
    <t>周雨娇</t>
  </si>
  <si>
    <t>钟甜芬</t>
  </si>
  <si>
    <t>程金敏</t>
  </si>
  <si>
    <t>雒雯琦</t>
  </si>
  <si>
    <t>胡广玉</t>
  </si>
  <si>
    <t>朱俊权</t>
  </si>
  <si>
    <t>沈诗秀</t>
  </si>
  <si>
    <t>林雪枚</t>
  </si>
  <si>
    <t>李畅</t>
  </si>
  <si>
    <t>谢雪雯</t>
  </si>
  <si>
    <t>李从容</t>
  </si>
  <si>
    <t>程文</t>
  </si>
  <si>
    <t>杜谦</t>
  </si>
  <si>
    <t>李安琪</t>
  </si>
  <si>
    <t>刘莹纯</t>
  </si>
  <si>
    <t>王瑞玲</t>
  </si>
  <si>
    <t>余倩</t>
  </si>
  <si>
    <t>分段</t>
  </si>
  <si>
    <t>01</t>
  </si>
  <si>
    <t>总分</t>
  </si>
  <si>
    <t>02</t>
  </si>
  <si>
    <t>03</t>
  </si>
  <si>
    <t>04</t>
  </si>
  <si>
    <t>05</t>
  </si>
  <si>
    <t>杨梦琪</t>
  </si>
  <si>
    <t>伍阳</t>
  </si>
  <si>
    <t>刘家瑞</t>
  </si>
  <si>
    <t>邱如韬</t>
  </si>
  <si>
    <t>李嘉蕊</t>
  </si>
  <si>
    <t>肖睿珹</t>
  </si>
  <si>
    <t>游静妍</t>
  </si>
  <si>
    <t>赖一诺</t>
  </si>
  <si>
    <t>黄福东</t>
  </si>
  <si>
    <t>罗睿博</t>
  </si>
  <si>
    <t>刘恒瑞</t>
  </si>
  <si>
    <t>范泽坤</t>
  </si>
  <si>
    <t>张德伦</t>
  </si>
  <si>
    <t>刘雅琪</t>
  </si>
  <si>
    <t>林可恩</t>
  </si>
  <si>
    <t>李欣彤</t>
  </si>
  <si>
    <t>万天昊</t>
  </si>
  <si>
    <t>刘亚鑫</t>
  </si>
  <si>
    <t>郭楚臣</t>
  </si>
  <si>
    <t>刘羽萱</t>
  </si>
  <si>
    <t>刘子亿</t>
  </si>
  <si>
    <t>张梓毅</t>
  </si>
  <si>
    <t>何奕涵</t>
  </si>
  <si>
    <t>徐家奇</t>
  </si>
  <si>
    <t>卢俊天</t>
  </si>
  <si>
    <t>均分/排名</t>
  </si>
  <si>
    <t>王馨悦</t>
  </si>
  <si>
    <t>谢雨泽</t>
  </si>
  <si>
    <t>徐子晴</t>
  </si>
  <si>
    <t>罗雨涵</t>
  </si>
  <si>
    <t>孔子菲</t>
  </si>
  <si>
    <t>芦熙珍</t>
  </si>
  <si>
    <t>王嘉堃</t>
  </si>
  <si>
    <t>邹云川</t>
  </si>
  <si>
    <t>王心怡</t>
  </si>
  <si>
    <t>张嘉琪</t>
  </si>
  <si>
    <t>曾子轩</t>
  </si>
  <si>
    <t>罗紫瑜</t>
  </si>
  <si>
    <t>曾如婧</t>
  </si>
  <si>
    <t>袁熙雨</t>
  </si>
  <si>
    <t>陈辛悦</t>
  </si>
  <si>
    <t>黄泓宇</t>
  </si>
  <si>
    <t>敖瑞熙</t>
  </si>
  <si>
    <t>李静雯</t>
  </si>
  <si>
    <t>彭乾峰</t>
  </si>
  <si>
    <t>马越</t>
  </si>
  <si>
    <t>张子悦</t>
  </si>
  <si>
    <t>黄嘉豪</t>
  </si>
  <si>
    <t>高恺祺</t>
  </si>
  <si>
    <t>辜禹谦</t>
  </si>
  <si>
    <t>张旭瑞</t>
  </si>
  <si>
    <t>范安妮</t>
  </si>
  <si>
    <t>刘成钢</t>
  </si>
  <si>
    <t>刘中源</t>
  </si>
  <si>
    <t>刘昊轩</t>
  </si>
  <si>
    <t>陈劲锋</t>
  </si>
  <si>
    <t>吴梦</t>
  </si>
  <si>
    <t>张欣怡</t>
  </si>
  <si>
    <t>陈宗睿</t>
  </si>
  <si>
    <t>张文浩</t>
  </si>
  <si>
    <t>邱梓妍</t>
  </si>
  <si>
    <t>李美菡</t>
  </si>
  <si>
    <t>何舒曼</t>
  </si>
  <si>
    <t>李静欣</t>
  </si>
  <si>
    <t>刘尚林</t>
  </si>
  <si>
    <t>郭洋</t>
  </si>
  <si>
    <t>雷焱江</t>
  </si>
  <si>
    <t>黄映然</t>
  </si>
  <si>
    <t>田晨硕</t>
  </si>
  <si>
    <t>陈牧言</t>
  </si>
  <si>
    <t>彭海润</t>
  </si>
  <si>
    <t>陈辛愉</t>
  </si>
  <si>
    <t>陈灏航</t>
  </si>
  <si>
    <t>许增濠</t>
  </si>
  <si>
    <t>朱梓瑄</t>
  </si>
  <si>
    <t>谭壬融</t>
  </si>
  <si>
    <t>张华羽</t>
  </si>
  <si>
    <t>朱怡冰</t>
  </si>
  <si>
    <t>陈建宇</t>
  </si>
  <si>
    <t>易景涵</t>
  </si>
  <si>
    <t>谢天豪</t>
  </si>
  <si>
    <t>陈耿豪</t>
  </si>
  <si>
    <t>王豪翊</t>
  </si>
  <si>
    <t>周博文</t>
  </si>
  <si>
    <t>鲁颖萱</t>
  </si>
  <si>
    <t>杨楚瑞</t>
  </si>
  <si>
    <t>蔡玉容</t>
  </si>
  <si>
    <t>林漫麒</t>
  </si>
  <si>
    <t>肖宜宸</t>
  </si>
  <si>
    <t>刘羽城</t>
  </si>
  <si>
    <t>陈楚楚</t>
  </si>
  <si>
    <t>黄子一</t>
  </si>
  <si>
    <t>阮琳珂</t>
  </si>
  <si>
    <t>李宇</t>
  </si>
  <si>
    <t>谢丹</t>
  </si>
  <si>
    <t>傅予翎</t>
  </si>
  <si>
    <t>杨轩灵</t>
  </si>
  <si>
    <t>邱政安</t>
  </si>
  <si>
    <t>庄栩菲</t>
  </si>
  <si>
    <t>姚时雨</t>
  </si>
  <si>
    <t>陈雨珛</t>
  </si>
  <si>
    <t>陈柏俞</t>
  </si>
  <si>
    <t>朱芷乐</t>
  </si>
  <si>
    <t>吴家裕</t>
  </si>
  <si>
    <t>陈漫琪</t>
  </si>
  <si>
    <t>王钰杰</t>
  </si>
  <si>
    <t>陈梓涵</t>
  </si>
  <si>
    <t>刘思城</t>
  </si>
  <si>
    <t>何钰琳</t>
  </si>
  <si>
    <t>龚睿滢</t>
  </si>
  <si>
    <t>彭楚馨</t>
  </si>
  <si>
    <t>陈梓淇</t>
  </si>
  <si>
    <t>练子涵</t>
  </si>
  <si>
    <t>周子涵</t>
  </si>
  <si>
    <t>杨善岚</t>
  </si>
  <si>
    <t>杨铭可</t>
  </si>
  <si>
    <t>袁浩轩</t>
  </si>
  <si>
    <t>张梓晨</t>
  </si>
  <si>
    <t>林泽强</t>
  </si>
  <si>
    <t>刘泳余</t>
  </si>
  <si>
    <t>吴优</t>
  </si>
  <si>
    <t>谢心懿</t>
  </si>
  <si>
    <t>杨晨灿</t>
  </si>
  <si>
    <t>林睦为</t>
  </si>
  <si>
    <t>李未都</t>
  </si>
  <si>
    <t>黄炜埕</t>
  </si>
  <si>
    <t>邓腾宇</t>
  </si>
  <si>
    <t>龚浩泽</t>
  </si>
  <si>
    <t>曾怡晴</t>
  </si>
  <si>
    <t>张琪涵</t>
  </si>
  <si>
    <t>周研岑</t>
  </si>
  <si>
    <t>黄峻熙</t>
  </si>
  <si>
    <t>许诺</t>
  </si>
  <si>
    <t>郑煊煊</t>
  </si>
  <si>
    <t>廖梦焓</t>
  </si>
  <si>
    <t>赖鹏旭</t>
  </si>
  <si>
    <t>李清萱</t>
  </si>
  <si>
    <t>徐钰芬</t>
  </si>
  <si>
    <t>龙子怡</t>
  </si>
  <si>
    <t>刘子骞</t>
  </si>
  <si>
    <t>梁岚岚</t>
  </si>
  <si>
    <t>郭秦粤</t>
  </si>
  <si>
    <t>钟世豪</t>
  </si>
  <si>
    <t>伍政宇</t>
  </si>
  <si>
    <t>胡浩哲</t>
  </si>
  <si>
    <t>袁枫</t>
  </si>
  <si>
    <t>侯明喆</t>
  </si>
  <si>
    <t>周舒瑶</t>
  </si>
  <si>
    <t>邹黄辰岳</t>
  </si>
  <si>
    <t>方满</t>
  </si>
  <si>
    <t>江煜轩</t>
  </si>
  <si>
    <t>路谦</t>
  </si>
  <si>
    <t>赖思语</t>
  </si>
  <si>
    <t>李晓涵</t>
  </si>
  <si>
    <t>章云鑫</t>
  </si>
  <si>
    <t>张倍豪</t>
  </si>
  <si>
    <t>张世博</t>
  </si>
  <si>
    <t>张俊楠</t>
  </si>
  <si>
    <t>周子皓</t>
  </si>
  <si>
    <t>姜懿轩</t>
  </si>
  <si>
    <t>冯智鹏</t>
  </si>
  <si>
    <t>夏志远</t>
  </si>
  <si>
    <t>房凌梓</t>
  </si>
  <si>
    <t>孔涛</t>
  </si>
  <si>
    <t>吴子轩</t>
  </si>
  <si>
    <t>刘点</t>
  </si>
  <si>
    <t>郭修言</t>
  </si>
  <si>
    <t>黎馨</t>
  </si>
  <si>
    <t>余欣彤</t>
  </si>
  <si>
    <t>伍俊霖</t>
  </si>
  <si>
    <t>周思焓</t>
  </si>
  <si>
    <t>方雨帆</t>
  </si>
  <si>
    <t>陈薇淇</t>
  </si>
  <si>
    <t>李雨涛</t>
  </si>
  <si>
    <t>李梓嫣</t>
  </si>
  <si>
    <t>曾诗淼</t>
  </si>
  <si>
    <t>舒睿</t>
  </si>
  <si>
    <t>符思成</t>
  </si>
  <si>
    <t>汪卓仪</t>
  </si>
  <si>
    <t>刘羿</t>
  </si>
  <si>
    <t>扈彭泽</t>
  </si>
  <si>
    <t>王珊彤</t>
  </si>
  <si>
    <t>江婷菊</t>
  </si>
  <si>
    <t>万语彤</t>
  </si>
  <si>
    <t>陈思晨</t>
  </si>
  <si>
    <t>林哲弘</t>
  </si>
  <si>
    <t>李天睿</t>
  </si>
  <si>
    <t>伍丹莉</t>
  </si>
  <si>
    <t>胡嘉琪</t>
  </si>
  <si>
    <t>谷文禹</t>
  </si>
  <si>
    <t>彭皓轩</t>
  </si>
  <si>
    <t>钟诗琪</t>
  </si>
  <si>
    <t>蒋骐嵘</t>
  </si>
  <si>
    <t>李怡浚</t>
  </si>
  <si>
    <t>陈辉映</t>
  </si>
  <si>
    <t>常鑫宇</t>
  </si>
  <si>
    <t>武锶琦</t>
  </si>
  <si>
    <t>温茂勋</t>
  </si>
  <si>
    <t>王堉煜</t>
  </si>
  <si>
    <t>彭一轩</t>
  </si>
  <si>
    <t>王赫</t>
  </si>
  <si>
    <t>赖嘉怡</t>
  </si>
  <si>
    <t>陈诚</t>
  </si>
  <si>
    <t>刘依依</t>
  </si>
  <si>
    <t>吕懿軒</t>
  </si>
  <si>
    <t>方楚轩</t>
  </si>
  <si>
    <t>王学远</t>
  </si>
  <si>
    <t>金冠丞</t>
  </si>
  <si>
    <t>刘旭</t>
  </si>
  <si>
    <t>张航</t>
  </si>
  <si>
    <t>吴智羽</t>
  </si>
  <si>
    <t>刘增辉</t>
  </si>
  <si>
    <t>黄俊淇</t>
  </si>
  <si>
    <t>葛子绪</t>
  </si>
  <si>
    <t>唐艺娜</t>
  </si>
  <si>
    <t>李圳轩</t>
  </si>
  <si>
    <t>陈涵淇</t>
  </si>
  <si>
    <t>黎微茹</t>
  </si>
  <si>
    <t>刘瀚清</t>
  </si>
  <si>
    <t>吴梓煜</t>
  </si>
  <si>
    <t>张镁玲</t>
  </si>
  <si>
    <t>张芫峄</t>
  </si>
  <si>
    <t>蒋亚诺</t>
  </si>
  <si>
    <t>黄峻威</t>
  </si>
  <si>
    <t>刘子涵</t>
  </si>
  <si>
    <t>温子仪</t>
  </si>
  <si>
    <t>罗雨惜</t>
  </si>
  <si>
    <t>刘富城</t>
  </si>
  <si>
    <t>道德与法治</t>
  </si>
  <si>
    <t>学号</t>
  </si>
  <si>
    <t>考号</t>
  </si>
  <si>
    <t>姓名</t>
  </si>
  <si>
    <t>行政班级</t>
  </si>
  <si>
    <t>学校</t>
  </si>
  <si>
    <t>区域</t>
  </si>
  <si>
    <t>考生类型1</t>
  </si>
  <si>
    <t>语文分数</t>
  </si>
  <si>
    <t>语文等级</t>
  </si>
  <si>
    <t>数学分数</t>
  </si>
  <si>
    <t>数学等级</t>
  </si>
  <si>
    <t>英语笔试分数</t>
  </si>
  <si>
    <t>英语笔试等级</t>
  </si>
  <si>
    <t>历史分数</t>
  </si>
  <si>
    <t>历史等级</t>
  </si>
  <si>
    <t>道德与法治分数</t>
  </si>
  <si>
    <t>道德与法治等级</t>
  </si>
  <si>
    <t>物理和化学</t>
  </si>
  <si>
    <t>英语听说分数</t>
  </si>
  <si>
    <t>英语听说等级</t>
  </si>
  <si>
    <t>化学分数</t>
  </si>
  <si>
    <t>化学等级</t>
  </si>
  <si>
    <t>物理分数</t>
  </si>
  <si>
    <t>物理等级</t>
  </si>
  <si>
    <t>英语分数</t>
  </si>
  <si>
    <t>英语等级</t>
  </si>
  <si>
    <t>总分分数</t>
  </si>
  <si>
    <t>总分等级</t>
  </si>
  <si>
    <t>年级排名</t>
  </si>
  <si>
    <t>2603071180217</t>
  </si>
  <si>
    <t>龙岗区南京师范大学附属龙岗学校</t>
  </si>
  <si>
    <t>布吉</t>
  </si>
  <si>
    <t>公办</t>
  </si>
  <si>
    <t>2603071180162</t>
  </si>
  <si>
    <t>2603071180110</t>
  </si>
  <si>
    <t>2603071180184</t>
  </si>
  <si>
    <t>2603071180166</t>
  </si>
  <si>
    <t>2603071180117</t>
  </si>
  <si>
    <t>2603071180076</t>
  </si>
  <si>
    <t>2603071180126</t>
  </si>
  <si>
    <t>2603071180025</t>
  </si>
  <si>
    <t>2603071180004</t>
  </si>
  <si>
    <t>2603071180173</t>
  </si>
  <si>
    <t>2603071180233</t>
  </si>
  <si>
    <t>2603071180061</t>
  </si>
  <si>
    <t>2603071180015</t>
  </si>
  <si>
    <t>2603071180214</t>
  </si>
  <si>
    <t>2603071180003</t>
  </si>
  <si>
    <t>2603071180099</t>
  </si>
  <si>
    <t>2603071180077</t>
  </si>
  <si>
    <t>2603071180002</t>
  </si>
  <si>
    <t>2603071180052</t>
  </si>
  <si>
    <t>2603071180163</t>
  </si>
  <si>
    <t>2603071180158</t>
  </si>
  <si>
    <t>2603071180108</t>
  </si>
  <si>
    <t>2603071180232</t>
  </si>
  <si>
    <t>2603071180164</t>
  </si>
  <si>
    <t>2603071180130</t>
  </si>
  <si>
    <t>2603071180125</t>
  </si>
  <si>
    <t>2603071180094</t>
  </si>
  <si>
    <t>2603071180156</t>
  </si>
  <si>
    <t>2603071180128</t>
  </si>
  <si>
    <t>2603071180066</t>
  </si>
  <si>
    <t>2603071180112</t>
  </si>
  <si>
    <t>2603071180212</t>
  </si>
  <si>
    <t>2603071180016</t>
  </si>
  <si>
    <t>2603071180203</t>
  </si>
  <si>
    <t>2603071180100</t>
  </si>
  <si>
    <t>2603071180017</t>
  </si>
  <si>
    <t>2603071180089</t>
  </si>
  <si>
    <t>2603071180044</t>
  </si>
  <si>
    <t>2603071180165</t>
  </si>
  <si>
    <t>2603071180167</t>
  </si>
  <si>
    <t>2603071180235</t>
  </si>
  <si>
    <t>2603071180138</t>
  </si>
  <si>
    <t>2603071180174</t>
  </si>
  <si>
    <t>2603071180103</t>
  </si>
  <si>
    <t>2603071180153</t>
  </si>
  <si>
    <t>2603071180132</t>
  </si>
  <si>
    <t>2603071180053</t>
  </si>
  <si>
    <t>2603071180086</t>
  </si>
  <si>
    <t>2603071180036</t>
  </si>
  <si>
    <t>2603071180194</t>
  </si>
  <si>
    <t>2603071180111</t>
  </si>
  <si>
    <t>2603071180149</t>
  </si>
  <si>
    <t>2603071180137</t>
  </si>
  <si>
    <t>2603071180027</t>
  </si>
  <si>
    <t>2603071180202</t>
  </si>
  <si>
    <t>2603071180009</t>
  </si>
  <si>
    <t>2603071180087</t>
  </si>
  <si>
    <t>2603071180033</t>
  </si>
  <si>
    <t>2603071180008</t>
  </si>
  <si>
    <t>2603071180042</t>
  </si>
  <si>
    <t>2603071180088</t>
  </si>
  <si>
    <t>2603071180005</t>
  </si>
  <si>
    <t>2603071180119</t>
  </si>
  <si>
    <t>2603071180129</t>
  </si>
  <si>
    <t>2603071180101</t>
  </si>
  <si>
    <t>2603071180051</t>
  </si>
  <si>
    <t>2603071180006</t>
  </si>
  <si>
    <t>2603071180220</t>
  </si>
  <si>
    <t>2603071180067</t>
  </si>
  <si>
    <t>2603071180056</t>
  </si>
  <si>
    <t>2603071180118</t>
  </si>
  <si>
    <t>2603071180045</t>
  </si>
  <si>
    <t>2603071180037</t>
  </si>
  <si>
    <t>2603071180216</t>
  </si>
  <si>
    <t>2603071180228</t>
  </si>
  <si>
    <t>2603071180050</t>
  </si>
  <si>
    <t>2603071180068</t>
  </si>
  <si>
    <t>2603071180234</t>
  </si>
  <si>
    <t>2603071180152</t>
  </si>
  <si>
    <t>2603071180083</t>
  </si>
  <si>
    <t>2603071180183</t>
  </si>
  <si>
    <t>2603071180038</t>
  </si>
  <si>
    <t>2603071180135</t>
  </si>
  <si>
    <t>2603071180223</t>
  </si>
  <si>
    <t>2603071180148</t>
  </si>
  <si>
    <t>2603071180136</t>
  </si>
  <si>
    <t>2603071180102</t>
  </si>
  <si>
    <t/>
  </si>
  <si>
    <t>2603071180019</t>
  </si>
  <si>
    <t>2603071180229</t>
  </si>
  <si>
    <t>2603071180213</t>
  </si>
  <si>
    <t>2603071180147</t>
  </si>
  <si>
    <t>2603071180114</t>
  </si>
  <si>
    <t>2603071180204</t>
  </si>
  <si>
    <t>2603071180142</t>
  </si>
  <si>
    <t>2603071180224</t>
  </si>
  <si>
    <t>2603071180175</t>
  </si>
  <si>
    <t>2603071180070</t>
  </si>
  <si>
    <t>2603071180139</t>
  </si>
  <si>
    <t>2603071180208</t>
  </si>
  <si>
    <t>2603071180018</t>
  </si>
  <si>
    <t>2603071180157</t>
  </si>
  <si>
    <t>2603071180155</t>
  </si>
  <si>
    <t>2603071180109</t>
  </si>
  <si>
    <t>2603071180084</t>
  </si>
  <si>
    <t>2603071180187</t>
  </si>
  <si>
    <t>2603071180127</t>
  </si>
  <si>
    <t>2603071180185</t>
  </si>
  <si>
    <t>2603071180073</t>
  </si>
  <si>
    <t>2603071180205</t>
  </si>
  <si>
    <t>2603071180206</t>
  </si>
  <si>
    <t>2603071180168</t>
  </si>
  <si>
    <t>2603071180140</t>
  </si>
  <si>
    <t>2603071180043</t>
  </si>
  <si>
    <t>2603071180020</t>
  </si>
  <si>
    <t>2603071180090</t>
  </si>
  <si>
    <t>2603071180198</t>
  </si>
  <si>
    <t>2603071180239</t>
  </si>
  <si>
    <t>2603071180029</t>
  </si>
  <si>
    <t>2603071180078</t>
  </si>
  <si>
    <t>2603071180150</t>
  </si>
  <si>
    <t>2603071180154</t>
  </si>
  <si>
    <t>2603071180035</t>
  </si>
  <si>
    <t>2603071180058</t>
  </si>
  <si>
    <t>2603071180186</t>
  </si>
  <si>
    <t>2603071180143</t>
  </si>
  <si>
    <t>2603071180209</t>
  </si>
  <si>
    <t>2603071180007</t>
  </si>
  <si>
    <t>2603071180046</t>
  </si>
  <si>
    <t>2603071180105</t>
  </si>
  <si>
    <t>2603071180024</t>
  </si>
  <si>
    <t>2603071180159</t>
  </si>
  <si>
    <t>2603071180236</t>
  </si>
  <si>
    <t>2603071180200</t>
  </si>
  <si>
    <t>2603071180010</t>
  </si>
  <si>
    <t>2603071180170</t>
  </si>
  <si>
    <t>2603071180179</t>
  </si>
  <si>
    <t>2603071180193</t>
  </si>
  <si>
    <t>2603071180021</t>
  </si>
  <si>
    <t>2603071180030</t>
  </si>
  <si>
    <t>2603071180093</t>
  </si>
  <si>
    <t>2603071180096</t>
  </si>
  <si>
    <t>2603071180081</t>
  </si>
  <si>
    <t>2603071180141</t>
  </si>
  <si>
    <t>2603071180034</t>
  </si>
  <si>
    <t>2603071180188</t>
  </si>
  <si>
    <t>2603071180085</t>
  </si>
  <si>
    <t>2603071180215</t>
  </si>
  <si>
    <t>2603071180104</t>
  </si>
  <si>
    <t>2603071180189</t>
  </si>
  <si>
    <t>2603071180197</t>
  </si>
  <si>
    <t>2603071180079</t>
  </si>
  <si>
    <t>2603071180227</t>
  </si>
  <si>
    <t>2603071180062</t>
  </si>
  <si>
    <t>2603071180055</t>
  </si>
  <si>
    <t>2603071180134</t>
  </si>
  <si>
    <t>2603071180069</t>
  </si>
  <si>
    <t>2603071180219</t>
  </si>
  <si>
    <t>2603071180031</t>
  </si>
  <si>
    <t>2603071180113</t>
  </si>
  <si>
    <t>2603071180218</t>
  </si>
  <si>
    <t>2603071180071</t>
  </si>
  <si>
    <t>2603071180080</t>
  </si>
  <si>
    <t>2603071180196</t>
  </si>
  <si>
    <t>2603071180120</t>
  </si>
  <si>
    <t>2603071180095</t>
  </si>
  <si>
    <t>2603071180063</t>
  </si>
  <si>
    <t>2603071180225</t>
  </si>
  <si>
    <t>2603071180123</t>
  </si>
  <si>
    <t>2603071180177</t>
  </si>
  <si>
    <t>2603071180082</t>
  </si>
  <si>
    <t>2603071180191</t>
  </si>
  <si>
    <t>2603071180226</t>
  </si>
  <si>
    <t>2603071180211</t>
  </si>
  <si>
    <t>2603071180178</t>
  </si>
  <si>
    <t>2603071180146</t>
  </si>
  <si>
    <t>2603071180012</t>
  </si>
  <si>
    <t>2603071180047</t>
  </si>
  <si>
    <t>2603071180028</t>
  </si>
  <si>
    <t>2603071180190</t>
  </si>
  <si>
    <t>2603071180124</t>
  </si>
  <si>
    <t>2603071180160</t>
  </si>
  <si>
    <t>2603071180222</t>
  </si>
  <si>
    <t>2603071180107</t>
  </si>
  <si>
    <t>2603071180180</t>
  </si>
  <si>
    <t>2603071180011</t>
  </si>
  <si>
    <t>2603071180040</t>
  </si>
  <si>
    <t>2603071180169</t>
  </si>
  <si>
    <t>2603071180092</t>
  </si>
  <si>
    <t>2603071180121</t>
  </si>
  <si>
    <t>2603071180039</t>
  </si>
  <si>
    <t>2603071180014</t>
  </si>
  <si>
    <t>2603071180122</t>
  </si>
  <si>
    <t>2603071180091</t>
  </si>
  <si>
    <t>2603071180171</t>
  </si>
  <si>
    <t>2603071180074</t>
  </si>
  <si>
    <t>2603071180195</t>
  </si>
  <si>
    <t>2603071180133</t>
  </si>
  <si>
    <t>2603071180192</t>
  </si>
  <si>
    <t>2603071180182</t>
  </si>
  <si>
    <t>2603071180237</t>
  </si>
  <si>
    <t>2603071180106</t>
  </si>
  <si>
    <t>2603071180022</t>
  </si>
  <si>
    <t>2603071180210</t>
  </si>
  <si>
    <t>2603071180065</t>
  </si>
  <si>
    <t>2603071180013</t>
  </si>
  <si>
    <t>2603071180176</t>
  </si>
  <si>
    <t>2603071180230</t>
  </si>
  <si>
    <t>2603071180131</t>
  </si>
  <si>
    <t>2603071180199</t>
  </si>
  <si>
    <t>2603071180023</t>
  </si>
  <si>
    <t>2603071180064</t>
  </si>
  <si>
    <t>2603071180057</t>
  </si>
  <si>
    <t>2603071180075</t>
  </si>
  <si>
    <t>2603071180207</t>
  </si>
  <si>
    <t>2603071180181</t>
  </si>
  <si>
    <t>2603071180115</t>
  </si>
  <si>
    <t>2603071180032</t>
  </si>
  <si>
    <t>2603071180116</t>
  </si>
  <si>
    <t>2603071180231</t>
  </si>
  <si>
    <t>2603071180201</t>
  </si>
  <si>
    <t>2603071180145</t>
  </si>
  <si>
    <t>2603071180097</t>
  </si>
  <si>
    <t>2603071180161</t>
  </si>
  <si>
    <t>2603071180060</t>
  </si>
  <si>
    <t>2603071180151</t>
  </si>
  <si>
    <t>2603071180041</t>
  </si>
  <si>
    <t>英语笔试</t>
  </si>
  <si>
    <t>英语听说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</si>
</sst>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rgb="FFFF0000"/>
      <name val="Arial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10" fontId="5" fillId="0" borderId="1" xfId="0" applyNumberFormat="1" applyFont="1" applyFill="1" applyBorder="1" applyAlignment="1">
      <alignment horizontal="center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23" dbFileVersion="0" changeLogVersion="0">
    <open main="102" threadCnt="1"/>
    <sheetInfos>
      <sheetInfo cellCmpFml="218" sheetStid="17">
        <open main="9" threadCnt="1"/>
      </sheetInfo>
      <sheetInfo cellCmpFml="0" sheetStid="18">
        <open main="1" threadCnt="1"/>
      </sheetInfo>
      <sheetInfo cellCmpFml="0" sheetStid="16">
        <open main="2" threadCnt="1"/>
      </sheetInfo>
      <sheetInfo cellCmpFml="0" sheetStid="7">
        <open main="2" threadCnt="1"/>
      </sheetInfo>
      <sheetInfo cellCmpFml="0" sheetStid="8">
        <open main="2" threadCnt="1"/>
      </sheetInfo>
      <sheetInfo cellCmpFml="0" sheetStid="15">
        <open main="2" threadCnt="1"/>
      </sheetInfo>
      <sheetInfo cellCmpFml="0" sheetStid="10">
        <open main="2" threadCnt="1"/>
      </sheetInfo>
      <sheetInfo cellCmpFml="0" sheetStid="11">
        <open main="2" threadCnt="1"/>
      </sheetInfo>
      <sheetInfo cellCmpFml="0" sheetStid="14">
        <open main="2" threadCnt="1"/>
      </sheetInfo>
      <sheetInfo cellCmpFml="0" sheetStid="13">
        <open main="2" threadCnt="1"/>
      </sheetInfo>
      <sheetInfo cellCmpFml="5" sheetStid="1">
        <open main="19" threadCnt="1"/>
      </sheetInfo>
      <sheetInfo cellCmpFml="0" sheetStid="9">
        <open main="2" threadCnt="1"/>
      </sheetInfo>
      <sheetInfo cellCmpFml="0" sheetStid="12">
        <open main="2" threadCnt="1"/>
      </sheetInfo>
      <sheetInfo cellCmpFml="0" sheetStid="2">
        <open main="1" threadCnt="1"/>
      </sheetInfo>
      <sheetInfo cellCmpFml="0" sheetStid="3">
        <open main="1" threadCnt="1"/>
      </sheetInfo>
      <sheetInfo cellCmpFml="0" sheetStid="4">
        <open main="1" threadCnt="1"/>
      </sheetInfo>
      <sheetInfo cellCmpFml="0" sheetStid="5">
        <open main="1" threadCnt="1"/>
      </sheetInfo>
      <sheetInfo cellCmpFml="0" sheetStid="6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www.wps.cn/officeDocument/2023/relationships/woinfos" Target="woinfos.xml"/><Relationship Id="rId24" Type="http://schemas.openxmlformats.org/officeDocument/2006/relationships/styles" Target="styles.xml"/><Relationship Id="rId23" Type="http://schemas.openxmlformats.org/officeDocument/2006/relationships/customXml" Target="../customXml/item3.xml"/><Relationship Id="rId22" Type="http://schemas.openxmlformats.org/officeDocument/2006/relationships/customXml" Target="../customXml/item2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8"/>
  <sheetViews>
    <sheetView workbookViewId="0">
      <selection activeCell="L3" sqref="L3:L7"/>
    </sheetView>
  </sheetViews>
  <sheetFormatPr defaultColWidth="8.725" defaultRowHeight="13.5"/>
  <sheetData>
    <row r="1" ht="15" customHeight="1" spans="1:19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ht="15" customHeight="1" spans="1:19">
      <c r="A2" s="13" t="s">
        <v>1</v>
      </c>
      <c r="B2" s="14" t="s">
        <v>2</v>
      </c>
      <c r="C2" s="14"/>
      <c r="D2" s="14" t="s">
        <v>3</v>
      </c>
      <c r="E2" s="14"/>
      <c r="F2" s="14" t="s">
        <v>4</v>
      </c>
      <c r="G2" s="14"/>
      <c r="H2" s="14" t="s">
        <v>5</v>
      </c>
      <c r="I2" s="14"/>
      <c r="J2" s="14" t="s">
        <v>6</v>
      </c>
      <c r="K2" s="14"/>
      <c r="L2" s="14" t="s">
        <v>7</v>
      </c>
      <c r="M2" s="14"/>
      <c r="N2" s="14" t="s">
        <v>8</v>
      </c>
      <c r="O2" s="14"/>
      <c r="P2" s="14" t="s">
        <v>9</v>
      </c>
      <c r="Q2" s="14"/>
      <c r="R2" s="14" t="s">
        <v>10</v>
      </c>
      <c r="S2" s="14"/>
    </row>
    <row r="3" ht="14.25" spans="1:19">
      <c r="A3" s="13"/>
      <c r="B3" s="14" t="s">
        <v>11</v>
      </c>
      <c r="C3" s="14" t="s">
        <v>12</v>
      </c>
      <c r="D3" s="14" t="s">
        <v>11</v>
      </c>
      <c r="E3" s="14" t="s">
        <v>12</v>
      </c>
      <c r="F3" s="14" t="s">
        <v>11</v>
      </c>
      <c r="G3" s="14" t="s">
        <v>12</v>
      </c>
      <c r="H3" s="14" t="s">
        <v>11</v>
      </c>
      <c r="I3" s="14" t="s">
        <v>12</v>
      </c>
      <c r="J3" s="14" t="s">
        <v>11</v>
      </c>
      <c r="K3" s="14" t="s">
        <v>12</v>
      </c>
      <c r="L3" s="14" t="s">
        <v>11</v>
      </c>
      <c r="M3" s="14" t="s">
        <v>12</v>
      </c>
      <c r="N3" s="14" t="s">
        <v>11</v>
      </c>
      <c r="O3" s="14" t="s">
        <v>12</v>
      </c>
      <c r="P3" s="14" t="s">
        <v>11</v>
      </c>
      <c r="Q3" s="14" t="s">
        <v>12</v>
      </c>
      <c r="R3" s="14" t="s">
        <v>11</v>
      </c>
      <c r="S3" s="14" t="s">
        <v>12</v>
      </c>
    </row>
    <row r="4" ht="14.25" spans="1:19">
      <c r="A4" s="15">
        <v>901</v>
      </c>
      <c r="B4" s="16">
        <v>4</v>
      </c>
      <c r="C4" s="17">
        <f t="shared" ref="C4:G4" si="0">B4/49</f>
        <v>0.0816326530612245</v>
      </c>
      <c r="D4" s="16">
        <v>16</v>
      </c>
      <c r="E4" s="17">
        <f t="shared" si="0"/>
        <v>0.326530612244898</v>
      </c>
      <c r="F4" s="14">
        <f>D4+B4</f>
        <v>20</v>
      </c>
      <c r="G4" s="17">
        <f t="shared" si="0"/>
        <v>0.408163265306122</v>
      </c>
      <c r="H4" s="16">
        <v>12</v>
      </c>
      <c r="I4" s="17">
        <f t="shared" ref="I4:M4" si="1">H4/49</f>
        <v>0.244897959183673</v>
      </c>
      <c r="J4" s="14">
        <f>H4+F4</f>
        <v>32</v>
      </c>
      <c r="K4" s="17">
        <f t="shared" si="1"/>
        <v>0.653061224489796</v>
      </c>
      <c r="L4" s="16">
        <v>10</v>
      </c>
      <c r="M4" s="17">
        <f t="shared" si="1"/>
        <v>0.204081632653061</v>
      </c>
      <c r="N4" s="14">
        <f>L4+J4</f>
        <v>42</v>
      </c>
      <c r="O4" s="17">
        <f>N4/49</f>
        <v>0.857142857142857</v>
      </c>
      <c r="P4" s="16">
        <v>2</v>
      </c>
      <c r="Q4" s="17">
        <f>P4/49</f>
        <v>0.0408163265306122</v>
      </c>
      <c r="R4" s="16">
        <v>1</v>
      </c>
      <c r="S4" s="17">
        <f>R4/49</f>
        <v>0.0204081632653061</v>
      </c>
    </row>
    <row r="5" ht="14.25" spans="1:19">
      <c r="A5" s="15">
        <v>902</v>
      </c>
      <c r="B5" s="18">
        <v>3</v>
      </c>
      <c r="C5" s="17">
        <f t="shared" ref="C5:G5" si="2">B5/48</f>
        <v>0.0625</v>
      </c>
      <c r="D5" s="18">
        <v>14</v>
      </c>
      <c r="E5" s="17">
        <f t="shared" si="2"/>
        <v>0.291666666666667</v>
      </c>
      <c r="F5" s="14">
        <f>D5+B5</f>
        <v>17</v>
      </c>
      <c r="G5" s="17">
        <f t="shared" si="2"/>
        <v>0.354166666666667</v>
      </c>
      <c r="H5" s="18">
        <v>14</v>
      </c>
      <c r="I5" s="17">
        <f t="shared" ref="I5:M5" si="3">H5/48</f>
        <v>0.291666666666667</v>
      </c>
      <c r="J5" s="14">
        <f>H5+F5</f>
        <v>31</v>
      </c>
      <c r="K5" s="17">
        <f t="shared" si="3"/>
        <v>0.645833333333333</v>
      </c>
      <c r="L5" s="18">
        <v>9</v>
      </c>
      <c r="M5" s="17">
        <f t="shared" si="3"/>
        <v>0.1875</v>
      </c>
      <c r="N5" s="14">
        <f>L5+J5</f>
        <v>40</v>
      </c>
      <c r="O5" s="17">
        <f>N5/48</f>
        <v>0.833333333333333</v>
      </c>
      <c r="P5" s="18">
        <v>5</v>
      </c>
      <c r="Q5" s="17">
        <f>P5/48</f>
        <v>0.104166666666667</v>
      </c>
      <c r="R5" s="18">
        <v>0</v>
      </c>
      <c r="S5" s="17">
        <f>R5/48</f>
        <v>0</v>
      </c>
    </row>
    <row r="6" ht="14.25" spans="1:19">
      <c r="A6" s="15">
        <v>903</v>
      </c>
      <c r="B6" s="18">
        <v>4</v>
      </c>
      <c r="C6" s="17">
        <f t="shared" ref="C6:G6" si="4">B6/48</f>
        <v>0.0833333333333333</v>
      </c>
      <c r="D6" s="18">
        <v>20</v>
      </c>
      <c r="E6" s="17">
        <f t="shared" si="4"/>
        <v>0.416666666666667</v>
      </c>
      <c r="F6" s="14">
        <f>D6+B6</f>
        <v>24</v>
      </c>
      <c r="G6" s="17">
        <f t="shared" si="4"/>
        <v>0.5</v>
      </c>
      <c r="H6" s="18">
        <v>9</v>
      </c>
      <c r="I6" s="17">
        <f t="shared" ref="I6:M6" si="5">H6/48</f>
        <v>0.1875</v>
      </c>
      <c r="J6" s="14">
        <f>H6+F6</f>
        <v>33</v>
      </c>
      <c r="K6" s="17">
        <f t="shared" si="5"/>
        <v>0.6875</v>
      </c>
      <c r="L6" s="18">
        <v>10</v>
      </c>
      <c r="M6" s="17">
        <f t="shared" si="5"/>
        <v>0.208333333333333</v>
      </c>
      <c r="N6" s="14">
        <f>L6+J6</f>
        <v>43</v>
      </c>
      <c r="O6" s="17">
        <f>N6/48</f>
        <v>0.895833333333333</v>
      </c>
      <c r="P6" s="18">
        <v>4</v>
      </c>
      <c r="Q6" s="17">
        <f>P6/48</f>
        <v>0.0833333333333333</v>
      </c>
      <c r="R6" s="18">
        <v>0</v>
      </c>
      <c r="S6" s="17">
        <f>R6/48</f>
        <v>0</v>
      </c>
    </row>
    <row r="7" ht="14.25" spans="1:19">
      <c r="A7" s="15">
        <v>904</v>
      </c>
      <c r="B7" s="16">
        <v>4</v>
      </c>
      <c r="C7" s="17">
        <f t="shared" ref="C7:G7" si="6">B7/47</f>
        <v>0.0851063829787234</v>
      </c>
      <c r="D7" s="16">
        <v>14</v>
      </c>
      <c r="E7" s="17">
        <f t="shared" si="6"/>
        <v>0.297872340425532</v>
      </c>
      <c r="F7" s="14">
        <f>D7+B7</f>
        <v>18</v>
      </c>
      <c r="G7" s="17">
        <f t="shared" si="6"/>
        <v>0.382978723404255</v>
      </c>
      <c r="H7" s="16">
        <v>14</v>
      </c>
      <c r="I7" s="17">
        <f t="shared" ref="I7:M7" si="7">H7/47</f>
        <v>0.297872340425532</v>
      </c>
      <c r="J7" s="14">
        <f>H7+F7</f>
        <v>32</v>
      </c>
      <c r="K7" s="17">
        <f t="shared" si="7"/>
        <v>0.680851063829787</v>
      </c>
      <c r="L7" s="16">
        <v>11</v>
      </c>
      <c r="M7" s="17">
        <f t="shared" si="7"/>
        <v>0.234042553191489</v>
      </c>
      <c r="N7" s="14">
        <f>L7+J7</f>
        <v>43</v>
      </c>
      <c r="O7" s="17">
        <f>N7/47</f>
        <v>0.914893617021277</v>
      </c>
      <c r="P7" s="16">
        <v>2</v>
      </c>
      <c r="Q7" s="17">
        <f>P7/47</f>
        <v>0.0425531914893617</v>
      </c>
      <c r="R7" s="16">
        <v>1</v>
      </c>
      <c r="S7" s="17">
        <f>R7/47</f>
        <v>0.0212765957446809</v>
      </c>
    </row>
    <row r="8" ht="14.25" spans="1:19">
      <c r="A8" s="19">
        <v>905</v>
      </c>
      <c r="B8" s="20">
        <v>3</v>
      </c>
      <c r="C8" s="17">
        <f t="shared" ref="C8:G8" si="8">B8/46</f>
        <v>0.0652173913043478</v>
      </c>
      <c r="D8" s="20">
        <v>15</v>
      </c>
      <c r="E8" s="17">
        <f t="shared" si="8"/>
        <v>0.326086956521739</v>
      </c>
      <c r="F8" s="14">
        <f>D8+B8</f>
        <v>18</v>
      </c>
      <c r="G8" s="17">
        <f t="shared" si="8"/>
        <v>0.391304347826087</v>
      </c>
      <c r="H8" s="20">
        <v>11</v>
      </c>
      <c r="I8" s="17">
        <f t="shared" ref="I8:M8" si="9">H8/46</f>
        <v>0.239130434782609</v>
      </c>
      <c r="J8" s="14">
        <f>H8+F8</f>
        <v>29</v>
      </c>
      <c r="K8" s="17">
        <f t="shared" si="9"/>
        <v>0.630434782608696</v>
      </c>
      <c r="L8" s="20">
        <v>10</v>
      </c>
      <c r="M8" s="17">
        <f t="shared" si="9"/>
        <v>0.217391304347826</v>
      </c>
      <c r="N8" s="14">
        <f>L8+J8</f>
        <v>39</v>
      </c>
      <c r="O8" s="17">
        <f>N8/46</f>
        <v>0.847826086956522</v>
      </c>
      <c r="P8" s="20">
        <v>5</v>
      </c>
      <c r="Q8" s="17">
        <f>P8/46</f>
        <v>0.108695652173913</v>
      </c>
      <c r="R8" s="20">
        <v>0</v>
      </c>
      <c r="S8" s="17">
        <f>R8/46</f>
        <v>0</v>
      </c>
    </row>
    <row r="9" spans="1:19">
      <c r="A9" s="11" t="s">
        <v>13</v>
      </c>
      <c r="B9" s="21">
        <f t="shared" ref="B9:F9" si="10">B4+B5+B6+B7+B8</f>
        <v>18</v>
      </c>
      <c r="C9" s="22">
        <f t="shared" ref="C9:G9" si="11">B9/238</f>
        <v>0.0756302521008403</v>
      </c>
      <c r="D9" s="21">
        <f t="shared" si="10"/>
        <v>79</v>
      </c>
      <c r="E9" s="22">
        <f t="shared" si="11"/>
        <v>0.331932773109244</v>
      </c>
      <c r="F9" s="21">
        <f t="shared" si="10"/>
        <v>97</v>
      </c>
      <c r="G9" s="22">
        <f t="shared" si="11"/>
        <v>0.407563025210084</v>
      </c>
      <c r="H9" s="21">
        <f t="shared" ref="H9:L9" si="12">H4+H5+H6+H7+H8</f>
        <v>60</v>
      </c>
      <c r="I9" s="22">
        <f t="shared" ref="I9:M9" si="13">H9/238</f>
        <v>0.252100840336134</v>
      </c>
      <c r="J9" s="21">
        <f t="shared" si="12"/>
        <v>157</v>
      </c>
      <c r="K9" s="22">
        <f t="shared" si="13"/>
        <v>0.659663865546218</v>
      </c>
      <c r="L9" s="21">
        <f t="shared" si="12"/>
        <v>50</v>
      </c>
      <c r="M9" s="22">
        <f t="shared" si="13"/>
        <v>0.210084033613445</v>
      </c>
      <c r="N9" s="21">
        <f>N4+N5+N6+N7+N8</f>
        <v>207</v>
      </c>
      <c r="O9" s="22">
        <f>N9/238</f>
        <v>0.869747899159664</v>
      </c>
      <c r="P9" s="21">
        <f>P4+P5+P6+P7+P8</f>
        <v>18</v>
      </c>
      <c r="Q9" s="22">
        <f>P9/238</f>
        <v>0.0756302521008403</v>
      </c>
      <c r="R9" s="21">
        <f>R4+R5+R6+R7+R8</f>
        <v>2</v>
      </c>
      <c r="S9" s="22">
        <f>R9/238</f>
        <v>0.00840336134453781</v>
      </c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ht="15" customHeight="1" spans="1:19">
      <c r="A11" s="12" t="s">
        <v>14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ht="15" customHeight="1" spans="1:19">
      <c r="A12" s="15" t="s">
        <v>15</v>
      </c>
      <c r="B12" s="14" t="s">
        <v>2</v>
      </c>
      <c r="C12" s="14"/>
      <c r="D12" s="14" t="s">
        <v>3</v>
      </c>
      <c r="E12" s="14"/>
      <c r="F12" s="14" t="s">
        <v>4</v>
      </c>
      <c r="G12" s="14"/>
      <c r="H12" s="14" t="s">
        <v>5</v>
      </c>
      <c r="I12" s="14"/>
      <c r="J12" s="14" t="s">
        <v>6</v>
      </c>
      <c r="K12" s="14"/>
      <c r="L12" s="14" t="s">
        <v>7</v>
      </c>
      <c r="M12" s="14"/>
      <c r="N12" s="14" t="s">
        <v>8</v>
      </c>
      <c r="O12" s="14"/>
      <c r="P12" s="14" t="s">
        <v>9</v>
      </c>
      <c r="Q12" s="14"/>
      <c r="R12" s="14" t="s">
        <v>10</v>
      </c>
      <c r="S12" s="14"/>
    </row>
    <row r="13" ht="14.25" spans="1:19">
      <c r="A13" s="15"/>
      <c r="B13" s="14" t="s">
        <v>11</v>
      </c>
      <c r="C13" s="14" t="s">
        <v>12</v>
      </c>
      <c r="D13" s="14" t="s">
        <v>11</v>
      </c>
      <c r="E13" s="14" t="s">
        <v>12</v>
      </c>
      <c r="F13" s="14" t="s">
        <v>11</v>
      </c>
      <c r="G13" s="14" t="s">
        <v>12</v>
      </c>
      <c r="H13" s="14" t="s">
        <v>11</v>
      </c>
      <c r="I13" s="14" t="s">
        <v>12</v>
      </c>
      <c r="J13" s="14" t="s">
        <v>11</v>
      </c>
      <c r="K13" s="14" t="s">
        <v>12</v>
      </c>
      <c r="L13" s="14" t="s">
        <v>11</v>
      </c>
      <c r="M13" s="14" t="s">
        <v>12</v>
      </c>
      <c r="N13" s="14" t="s">
        <v>11</v>
      </c>
      <c r="O13" s="14" t="s">
        <v>12</v>
      </c>
      <c r="P13" s="14" t="s">
        <v>11</v>
      </c>
      <c r="Q13" s="14" t="s">
        <v>12</v>
      </c>
      <c r="R13" s="14" t="s">
        <v>11</v>
      </c>
      <c r="S13" s="14" t="s">
        <v>12</v>
      </c>
    </row>
    <row r="14" ht="14.25" spans="1:19">
      <c r="A14" s="15">
        <v>901</v>
      </c>
      <c r="B14" s="16">
        <v>3</v>
      </c>
      <c r="C14" s="17">
        <f t="shared" ref="C14:G14" si="14">B14/49</f>
        <v>0.0612244897959184</v>
      </c>
      <c r="D14" s="16">
        <v>18</v>
      </c>
      <c r="E14" s="17">
        <f t="shared" si="14"/>
        <v>0.36734693877551</v>
      </c>
      <c r="F14" s="14">
        <f t="shared" ref="F14:F18" si="15">D14+B14</f>
        <v>21</v>
      </c>
      <c r="G14" s="17">
        <f t="shared" si="14"/>
        <v>0.428571428571429</v>
      </c>
      <c r="H14" s="16">
        <v>11</v>
      </c>
      <c r="I14" s="17">
        <f t="shared" ref="I14:M14" si="16">H14/49</f>
        <v>0.224489795918367</v>
      </c>
      <c r="J14" s="14">
        <f t="shared" ref="J14:J18" si="17">H14+F14</f>
        <v>32</v>
      </c>
      <c r="K14" s="17">
        <f t="shared" si="16"/>
        <v>0.653061224489796</v>
      </c>
      <c r="L14" s="16">
        <v>10</v>
      </c>
      <c r="M14" s="17">
        <f t="shared" si="16"/>
        <v>0.204081632653061</v>
      </c>
      <c r="N14" s="14">
        <f t="shared" ref="N14:N18" si="18">L14+J14</f>
        <v>42</v>
      </c>
      <c r="O14" s="17">
        <f t="shared" ref="O14:S14" si="19">N14/49</f>
        <v>0.857142857142857</v>
      </c>
      <c r="P14" s="16">
        <v>2</v>
      </c>
      <c r="Q14" s="17">
        <f t="shared" si="19"/>
        <v>0.0408163265306122</v>
      </c>
      <c r="R14" s="16">
        <v>1</v>
      </c>
      <c r="S14" s="17">
        <f t="shared" si="19"/>
        <v>0.0204081632653061</v>
      </c>
    </row>
    <row r="15" ht="14.25" spans="1:19">
      <c r="A15" s="15">
        <v>902</v>
      </c>
      <c r="B15" s="18">
        <v>5</v>
      </c>
      <c r="C15" s="17">
        <f t="shared" ref="C15:G15" si="20">B15/48</f>
        <v>0.104166666666667</v>
      </c>
      <c r="D15" s="18">
        <v>12</v>
      </c>
      <c r="E15" s="17">
        <f t="shared" si="20"/>
        <v>0.25</v>
      </c>
      <c r="F15" s="14">
        <f t="shared" si="15"/>
        <v>17</v>
      </c>
      <c r="G15" s="17">
        <f t="shared" si="20"/>
        <v>0.354166666666667</v>
      </c>
      <c r="H15" s="18">
        <v>13</v>
      </c>
      <c r="I15" s="17">
        <f t="shared" ref="I15:M15" si="21">H15/48</f>
        <v>0.270833333333333</v>
      </c>
      <c r="J15" s="14">
        <f t="shared" si="17"/>
        <v>30</v>
      </c>
      <c r="K15" s="17">
        <f t="shared" si="21"/>
        <v>0.625</v>
      </c>
      <c r="L15" s="18">
        <v>11</v>
      </c>
      <c r="M15" s="17">
        <f t="shared" si="21"/>
        <v>0.229166666666667</v>
      </c>
      <c r="N15" s="14">
        <f t="shared" si="18"/>
        <v>41</v>
      </c>
      <c r="O15" s="17">
        <f t="shared" ref="O15:S15" si="22">N15/48</f>
        <v>0.854166666666667</v>
      </c>
      <c r="P15" s="18">
        <v>4</v>
      </c>
      <c r="Q15" s="17">
        <f t="shared" si="22"/>
        <v>0.0833333333333333</v>
      </c>
      <c r="R15" s="18">
        <v>0</v>
      </c>
      <c r="S15" s="17">
        <f t="shared" si="22"/>
        <v>0</v>
      </c>
    </row>
    <row r="16" ht="14.25" spans="1:19">
      <c r="A16" s="15">
        <v>903</v>
      </c>
      <c r="B16" s="18">
        <v>5</v>
      </c>
      <c r="C16" s="17">
        <f t="shared" ref="C16:G16" si="23">B16/48</f>
        <v>0.104166666666667</v>
      </c>
      <c r="D16" s="18">
        <v>18</v>
      </c>
      <c r="E16" s="17">
        <f t="shared" si="23"/>
        <v>0.375</v>
      </c>
      <c r="F16" s="14">
        <f t="shared" si="15"/>
        <v>23</v>
      </c>
      <c r="G16" s="17">
        <f t="shared" si="23"/>
        <v>0.479166666666667</v>
      </c>
      <c r="H16" s="18">
        <v>11</v>
      </c>
      <c r="I16" s="17">
        <f t="shared" ref="I16:M16" si="24">H16/48</f>
        <v>0.229166666666667</v>
      </c>
      <c r="J16" s="14">
        <f t="shared" si="17"/>
        <v>34</v>
      </c>
      <c r="K16" s="17">
        <f t="shared" si="24"/>
        <v>0.708333333333333</v>
      </c>
      <c r="L16" s="18">
        <v>8</v>
      </c>
      <c r="M16" s="17">
        <f t="shared" si="24"/>
        <v>0.166666666666667</v>
      </c>
      <c r="N16" s="14">
        <f t="shared" si="18"/>
        <v>42</v>
      </c>
      <c r="O16" s="17">
        <f t="shared" ref="O16:S16" si="25">N16/48</f>
        <v>0.875</v>
      </c>
      <c r="P16" s="18">
        <v>4</v>
      </c>
      <c r="Q16" s="17">
        <f t="shared" si="25"/>
        <v>0.0833333333333333</v>
      </c>
      <c r="R16" s="18">
        <v>0</v>
      </c>
      <c r="S16" s="17">
        <f t="shared" si="25"/>
        <v>0</v>
      </c>
    </row>
    <row r="17" ht="14.25" spans="1:19">
      <c r="A17" s="15">
        <v>904</v>
      </c>
      <c r="B17" s="16">
        <v>6</v>
      </c>
      <c r="C17" s="17">
        <f t="shared" ref="C17:G17" si="26">B17/47</f>
        <v>0.127659574468085</v>
      </c>
      <c r="D17" s="16">
        <v>12</v>
      </c>
      <c r="E17" s="17">
        <f t="shared" si="26"/>
        <v>0.25531914893617</v>
      </c>
      <c r="F17" s="14">
        <f t="shared" si="15"/>
        <v>18</v>
      </c>
      <c r="G17" s="17">
        <f t="shared" si="26"/>
        <v>0.382978723404255</v>
      </c>
      <c r="H17" s="16">
        <v>15</v>
      </c>
      <c r="I17" s="17">
        <f t="shared" ref="I17:M17" si="27">H17/47</f>
        <v>0.319148936170213</v>
      </c>
      <c r="J17" s="14">
        <f t="shared" si="17"/>
        <v>33</v>
      </c>
      <c r="K17" s="17">
        <f t="shared" si="27"/>
        <v>0.702127659574468</v>
      </c>
      <c r="L17" s="16">
        <v>10</v>
      </c>
      <c r="M17" s="17">
        <f t="shared" si="27"/>
        <v>0.212765957446809</v>
      </c>
      <c r="N17" s="14">
        <f t="shared" si="18"/>
        <v>43</v>
      </c>
      <c r="O17" s="17">
        <f t="shared" ref="O17:S17" si="28">N17/47</f>
        <v>0.914893617021277</v>
      </c>
      <c r="P17" s="16">
        <v>2</v>
      </c>
      <c r="Q17" s="17">
        <f t="shared" si="28"/>
        <v>0.0425531914893617</v>
      </c>
      <c r="R17" s="16">
        <v>2</v>
      </c>
      <c r="S17" s="17">
        <f t="shared" si="28"/>
        <v>0.0425531914893617</v>
      </c>
    </row>
    <row r="18" ht="14.25" spans="1:19">
      <c r="A18" s="19">
        <v>905</v>
      </c>
      <c r="B18" s="20">
        <v>5</v>
      </c>
      <c r="C18" s="17">
        <f t="shared" ref="C18:G18" si="29">B18/46</f>
        <v>0.108695652173913</v>
      </c>
      <c r="D18" s="20">
        <v>12</v>
      </c>
      <c r="E18" s="17">
        <f t="shared" si="29"/>
        <v>0.260869565217391</v>
      </c>
      <c r="F18" s="14">
        <f t="shared" si="15"/>
        <v>17</v>
      </c>
      <c r="G18" s="17">
        <f t="shared" si="29"/>
        <v>0.369565217391304</v>
      </c>
      <c r="H18" s="20">
        <v>15</v>
      </c>
      <c r="I18" s="17">
        <f t="shared" ref="I18:M18" si="30">H18/46</f>
        <v>0.326086956521739</v>
      </c>
      <c r="J18" s="14">
        <f t="shared" si="17"/>
        <v>32</v>
      </c>
      <c r="K18" s="17">
        <f t="shared" si="30"/>
        <v>0.695652173913043</v>
      </c>
      <c r="L18" s="20">
        <v>6</v>
      </c>
      <c r="M18" s="17">
        <f t="shared" si="30"/>
        <v>0.130434782608696</v>
      </c>
      <c r="N18" s="14">
        <f t="shared" si="18"/>
        <v>38</v>
      </c>
      <c r="O18" s="17">
        <f t="shared" ref="O18:S18" si="31">N18/46</f>
        <v>0.826086956521739</v>
      </c>
      <c r="P18" s="20">
        <v>6</v>
      </c>
      <c r="Q18" s="17">
        <f t="shared" si="31"/>
        <v>0.130434782608696</v>
      </c>
      <c r="R18" s="20">
        <v>0</v>
      </c>
      <c r="S18" s="17">
        <f t="shared" si="31"/>
        <v>0</v>
      </c>
    </row>
    <row r="19" spans="1:19">
      <c r="A19" s="11" t="s">
        <v>13</v>
      </c>
      <c r="B19" s="21">
        <f t="shared" ref="B19:F19" si="32">B14+B15+B16+B17+B18</f>
        <v>24</v>
      </c>
      <c r="C19" s="22">
        <f t="shared" ref="C19:G19" si="33">B19/238</f>
        <v>0.100840336134454</v>
      </c>
      <c r="D19" s="21">
        <f t="shared" si="32"/>
        <v>72</v>
      </c>
      <c r="E19" s="22">
        <f t="shared" si="33"/>
        <v>0.302521008403361</v>
      </c>
      <c r="F19" s="21">
        <f t="shared" si="32"/>
        <v>96</v>
      </c>
      <c r="G19" s="22">
        <f t="shared" si="33"/>
        <v>0.403361344537815</v>
      </c>
      <c r="H19" s="21">
        <f t="shared" ref="H19:L19" si="34">H14+H15+H16+H17+H18</f>
        <v>65</v>
      </c>
      <c r="I19" s="22">
        <f t="shared" ref="I19:M19" si="35">H19/238</f>
        <v>0.273109243697479</v>
      </c>
      <c r="J19" s="21">
        <f t="shared" si="34"/>
        <v>161</v>
      </c>
      <c r="K19" s="22">
        <f t="shared" si="35"/>
        <v>0.676470588235294</v>
      </c>
      <c r="L19" s="21">
        <f t="shared" si="34"/>
        <v>45</v>
      </c>
      <c r="M19" s="22">
        <f t="shared" si="35"/>
        <v>0.189075630252101</v>
      </c>
      <c r="N19" s="21">
        <f t="shared" ref="N19:R19" si="36">N14+N15+N16+N17+N18</f>
        <v>206</v>
      </c>
      <c r="O19" s="22">
        <f t="shared" ref="O19:S19" si="37">N19/238</f>
        <v>0.865546218487395</v>
      </c>
      <c r="P19" s="21">
        <f t="shared" si="36"/>
        <v>18</v>
      </c>
      <c r="Q19" s="22">
        <f t="shared" si="37"/>
        <v>0.0756302521008403</v>
      </c>
      <c r="R19" s="21">
        <f t="shared" si="36"/>
        <v>3</v>
      </c>
      <c r="S19" s="22">
        <f t="shared" si="37"/>
        <v>0.0126050420168067</v>
      </c>
    </row>
    <row r="20" spans="1:19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ht="15" customHeight="1" spans="1:19">
      <c r="A21" s="12" t="s">
        <v>16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ht="15" customHeight="1" spans="1:19">
      <c r="A22" s="15" t="s">
        <v>17</v>
      </c>
      <c r="B22" s="14" t="s">
        <v>2</v>
      </c>
      <c r="C22" s="14"/>
      <c r="D22" s="14" t="s">
        <v>3</v>
      </c>
      <c r="E22" s="14"/>
      <c r="F22" s="14" t="s">
        <v>4</v>
      </c>
      <c r="G22" s="14"/>
      <c r="H22" s="14" t="s">
        <v>5</v>
      </c>
      <c r="I22" s="14"/>
      <c r="J22" s="14" t="s">
        <v>6</v>
      </c>
      <c r="K22" s="14"/>
      <c r="L22" s="14" t="s">
        <v>7</v>
      </c>
      <c r="M22" s="14"/>
      <c r="N22" s="14" t="s">
        <v>8</v>
      </c>
      <c r="O22" s="14"/>
      <c r="P22" s="14" t="s">
        <v>9</v>
      </c>
      <c r="Q22" s="14"/>
      <c r="R22" s="14" t="s">
        <v>10</v>
      </c>
      <c r="S22" s="14"/>
    </row>
    <row r="23" ht="14.25" spans="1:19">
      <c r="A23" s="15"/>
      <c r="B23" s="14" t="s">
        <v>11</v>
      </c>
      <c r="C23" s="14" t="s">
        <v>12</v>
      </c>
      <c r="D23" s="14" t="s">
        <v>11</v>
      </c>
      <c r="E23" s="14" t="s">
        <v>12</v>
      </c>
      <c r="F23" s="14" t="s">
        <v>11</v>
      </c>
      <c r="G23" s="14" t="s">
        <v>12</v>
      </c>
      <c r="H23" s="14" t="s">
        <v>11</v>
      </c>
      <c r="I23" s="14" t="s">
        <v>12</v>
      </c>
      <c r="J23" s="14" t="s">
        <v>11</v>
      </c>
      <c r="K23" s="14" t="s">
        <v>12</v>
      </c>
      <c r="L23" s="14" t="s">
        <v>11</v>
      </c>
      <c r="M23" s="14" t="s">
        <v>12</v>
      </c>
      <c r="N23" s="14" t="s">
        <v>11</v>
      </c>
      <c r="O23" s="14" t="s">
        <v>12</v>
      </c>
      <c r="P23" s="14" t="s">
        <v>11</v>
      </c>
      <c r="Q23" s="14" t="s">
        <v>12</v>
      </c>
      <c r="R23" s="14" t="s">
        <v>11</v>
      </c>
      <c r="S23" s="14" t="s">
        <v>12</v>
      </c>
    </row>
    <row r="24" ht="14.25" spans="1:19">
      <c r="A24" s="15">
        <v>901</v>
      </c>
      <c r="B24" s="16">
        <v>3</v>
      </c>
      <c r="C24" s="17">
        <f t="shared" ref="C24:G24" si="38">B24/49</f>
        <v>0.0612244897959184</v>
      </c>
      <c r="D24" s="16">
        <v>17</v>
      </c>
      <c r="E24" s="17">
        <f t="shared" si="38"/>
        <v>0.346938775510204</v>
      </c>
      <c r="F24" s="14">
        <f t="shared" ref="F24:F28" si="39">D24+B24</f>
        <v>20</v>
      </c>
      <c r="G24" s="17">
        <f t="shared" si="38"/>
        <v>0.408163265306122</v>
      </c>
      <c r="H24" s="16">
        <v>16</v>
      </c>
      <c r="I24" s="17">
        <f t="shared" ref="I24:M24" si="40">H24/49</f>
        <v>0.326530612244898</v>
      </c>
      <c r="J24" s="14">
        <f t="shared" ref="J24:J28" si="41">H24+F24</f>
        <v>36</v>
      </c>
      <c r="K24" s="17">
        <f t="shared" si="40"/>
        <v>0.73469387755102</v>
      </c>
      <c r="L24" s="16">
        <v>7</v>
      </c>
      <c r="M24" s="17">
        <f t="shared" si="40"/>
        <v>0.142857142857143</v>
      </c>
      <c r="N24" s="14">
        <f t="shared" ref="N24:N28" si="42">L24+J24</f>
        <v>43</v>
      </c>
      <c r="O24" s="17">
        <f t="shared" ref="O24:S24" si="43">N24/49</f>
        <v>0.877551020408163</v>
      </c>
      <c r="P24" s="16">
        <v>1</v>
      </c>
      <c r="Q24" s="17">
        <f t="shared" si="43"/>
        <v>0.0204081632653061</v>
      </c>
      <c r="R24" s="16">
        <v>1</v>
      </c>
      <c r="S24" s="17">
        <f t="shared" si="43"/>
        <v>0.0204081632653061</v>
      </c>
    </row>
    <row r="25" ht="14.25" spans="1:19">
      <c r="A25" s="15">
        <v>902</v>
      </c>
      <c r="B25" s="18">
        <v>1</v>
      </c>
      <c r="C25" s="17">
        <f t="shared" ref="C25:G25" si="44">B25/48</f>
        <v>0.0208333333333333</v>
      </c>
      <c r="D25" s="18">
        <v>15</v>
      </c>
      <c r="E25" s="17">
        <f t="shared" si="44"/>
        <v>0.3125</v>
      </c>
      <c r="F25" s="14">
        <f t="shared" si="39"/>
        <v>16</v>
      </c>
      <c r="G25" s="17">
        <f t="shared" si="44"/>
        <v>0.333333333333333</v>
      </c>
      <c r="H25" s="18">
        <v>20</v>
      </c>
      <c r="I25" s="17">
        <f t="shared" ref="I25:M25" si="45">H25/48</f>
        <v>0.416666666666667</v>
      </c>
      <c r="J25" s="14">
        <f t="shared" si="41"/>
        <v>36</v>
      </c>
      <c r="K25" s="17">
        <f t="shared" si="45"/>
        <v>0.75</v>
      </c>
      <c r="L25" s="18">
        <v>5</v>
      </c>
      <c r="M25" s="17">
        <f t="shared" si="45"/>
        <v>0.104166666666667</v>
      </c>
      <c r="N25" s="14">
        <f t="shared" si="42"/>
        <v>41</v>
      </c>
      <c r="O25" s="17">
        <f t="shared" ref="O25:S25" si="46">N25/48</f>
        <v>0.854166666666667</v>
      </c>
      <c r="P25" s="18">
        <v>4</v>
      </c>
      <c r="Q25" s="17">
        <f t="shared" si="46"/>
        <v>0.0833333333333333</v>
      </c>
      <c r="R25" s="18">
        <v>0</v>
      </c>
      <c r="S25" s="17">
        <f t="shared" si="46"/>
        <v>0</v>
      </c>
    </row>
    <row r="26" ht="14.25" spans="1:19">
      <c r="A26" s="15">
        <v>903</v>
      </c>
      <c r="B26" s="18">
        <v>2</v>
      </c>
      <c r="C26" s="17">
        <f t="shared" ref="C26:G26" si="47">B26/48</f>
        <v>0.0416666666666667</v>
      </c>
      <c r="D26" s="18">
        <v>15</v>
      </c>
      <c r="E26" s="17">
        <f t="shared" si="47"/>
        <v>0.3125</v>
      </c>
      <c r="F26" s="14">
        <f t="shared" si="39"/>
        <v>17</v>
      </c>
      <c r="G26" s="17">
        <f t="shared" si="47"/>
        <v>0.354166666666667</v>
      </c>
      <c r="H26" s="18">
        <v>23</v>
      </c>
      <c r="I26" s="17">
        <f t="shared" ref="I26:M26" si="48">H26/48</f>
        <v>0.479166666666667</v>
      </c>
      <c r="J26" s="14">
        <f t="shared" si="41"/>
        <v>40</v>
      </c>
      <c r="K26" s="17">
        <f t="shared" si="48"/>
        <v>0.833333333333333</v>
      </c>
      <c r="L26" s="18">
        <v>4</v>
      </c>
      <c r="M26" s="17">
        <f t="shared" si="48"/>
        <v>0.0833333333333333</v>
      </c>
      <c r="N26" s="14">
        <f t="shared" si="42"/>
        <v>44</v>
      </c>
      <c r="O26" s="17">
        <f t="shared" ref="O26:S26" si="49">N26/48</f>
        <v>0.916666666666667</v>
      </c>
      <c r="P26" s="18">
        <v>2</v>
      </c>
      <c r="Q26" s="17">
        <f t="shared" si="49"/>
        <v>0.0416666666666667</v>
      </c>
      <c r="R26" s="18">
        <v>1</v>
      </c>
      <c r="S26" s="17">
        <f t="shared" si="49"/>
        <v>0.0208333333333333</v>
      </c>
    </row>
    <row r="27" ht="14.25" spans="1:19">
      <c r="A27" s="15">
        <v>904</v>
      </c>
      <c r="B27" s="16">
        <v>5</v>
      </c>
      <c r="C27" s="17">
        <f t="shared" ref="C27:G27" si="50">B27/47</f>
        <v>0.106382978723404</v>
      </c>
      <c r="D27" s="16">
        <v>12</v>
      </c>
      <c r="E27" s="17">
        <f t="shared" si="50"/>
        <v>0.25531914893617</v>
      </c>
      <c r="F27" s="14">
        <f t="shared" si="39"/>
        <v>17</v>
      </c>
      <c r="G27" s="17">
        <f t="shared" si="50"/>
        <v>0.361702127659574</v>
      </c>
      <c r="H27" s="16">
        <v>17</v>
      </c>
      <c r="I27" s="17">
        <f t="shared" ref="I27:M27" si="51">H27/47</f>
        <v>0.361702127659574</v>
      </c>
      <c r="J27" s="14">
        <f t="shared" si="41"/>
        <v>34</v>
      </c>
      <c r="K27" s="17">
        <f t="shared" si="51"/>
        <v>0.723404255319149</v>
      </c>
      <c r="L27" s="16">
        <v>8</v>
      </c>
      <c r="M27" s="17">
        <f t="shared" si="51"/>
        <v>0.170212765957447</v>
      </c>
      <c r="N27" s="14">
        <f t="shared" si="42"/>
        <v>42</v>
      </c>
      <c r="O27" s="17">
        <f t="shared" ref="O27:S27" si="52">N27/47</f>
        <v>0.893617021276596</v>
      </c>
      <c r="P27" s="16">
        <v>3</v>
      </c>
      <c r="Q27" s="17">
        <f t="shared" si="52"/>
        <v>0.0638297872340425</v>
      </c>
      <c r="R27" s="16">
        <v>1</v>
      </c>
      <c r="S27" s="17">
        <f t="shared" si="52"/>
        <v>0.0212765957446809</v>
      </c>
    </row>
    <row r="28" ht="14.25" spans="1:19">
      <c r="A28" s="19">
        <v>905</v>
      </c>
      <c r="B28" s="20">
        <v>4</v>
      </c>
      <c r="C28" s="17">
        <f t="shared" ref="C28:G28" si="53">B28/46</f>
        <v>0.0869565217391304</v>
      </c>
      <c r="D28" s="20">
        <v>11</v>
      </c>
      <c r="E28" s="17">
        <f t="shared" si="53"/>
        <v>0.239130434782609</v>
      </c>
      <c r="F28" s="14">
        <f t="shared" si="39"/>
        <v>15</v>
      </c>
      <c r="G28" s="17">
        <f t="shared" si="53"/>
        <v>0.326086956521739</v>
      </c>
      <c r="H28" s="20">
        <v>18</v>
      </c>
      <c r="I28" s="17">
        <f t="shared" ref="I28:M28" si="54">H28/46</f>
        <v>0.391304347826087</v>
      </c>
      <c r="J28" s="14">
        <f t="shared" si="41"/>
        <v>33</v>
      </c>
      <c r="K28" s="17">
        <f t="shared" si="54"/>
        <v>0.717391304347826</v>
      </c>
      <c r="L28" s="20">
        <v>7</v>
      </c>
      <c r="M28" s="17">
        <f t="shared" si="54"/>
        <v>0.152173913043478</v>
      </c>
      <c r="N28" s="14">
        <f t="shared" si="42"/>
        <v>40</v>
      </c>
      <c r="O28" s="17">
        <f t="shared" ref="O28:S28" si="55">N28/46</f>
        <v>0.869565217391304</v>
      </c>
      <c r="P28" s="20">
        <v>4</v>
      </c>
      <c r="Q28" s="17">
        <f t="shared" si="55"/>
        <v>0.0869565217391304</v>
      </c>
      <c r="R28" s="20">
        <v>0</v>
      </c>
      <c r="S28" s="17">
        <f t="shared" si="55"/>
        <v>0</v>
      </c>
    </row>
    <row r="29" spans="1:19">
      <c r="A29" s="11" t="s">
        <v>13</v>
      </c>
      <c r="B29" s="21">
        <f t="shared" ref="B29:F29" si="56">B24+B25+B26+B27+B28</f>
        <v>15</v>
      </c>
      <c r="C29" s="22">
        <f t="shared" ref="C29:G29" si="57">B29/238</f>
        <v>0.0630252100840336</v>
      </c>
      <c r="D29" s="21">
        <f t="shared" si="56"/>
        <v>70</v>
      </c>
      <c r="E29" s="22">
        <f t="shared" si="57"/>
        <v>0.294117647058824</v>
      </c>
      <c r="F29" s="21">
        <f t="shared" si="56"/>
        <v>85</v>
      </c>
      <c r="G29" s="22">
        <f t="shared" si="57"/>
        <v>0.357142857142857</v>
      </c>
      <c r="H29" s="21">
        <f t="shared" ref="H29:L29" si="58">H24+H25+H26+H27+H28</f>
        <v>94</v>
      </c>
      <c r="I29" s="22">
        <f t="shared" ref="I29:M29" si="59">H29/238</f>
        <v>0.394957983193277</v>
      </c>
      <c r="J29" s="21">
        <f t="shared" si="58"/>
        <v>179</v>
      </c>
      <c r="K29" s="22">
        <f t="shared" si="59"/>
        <v>0.752100840336134</v>
      </c>
      <c r="L29" s="21">
        <f t="shared" si="58"/>
        <v>31</v>
      </c>
      <c r="M29" s="22">
        <f t="shared" si="59"/>
        <v>0.130252100840336</v>
      </c>
      <c r="N29" s="21">
        <f t="shared" ref="N29:R29" si="60">N24+N25+N26+N27+N28</f>
        <v>210</v>
      </c>
      <c r="O29" s="22">
        <f t="shared" ref="O29:S29" si="61">N29/238</f>
        <v>0.882352941176471</v>
      </c>
      <c r="P29" s="21">
        <f t="shared" si="60"/>
        <v>14</v>
      </c>
      <c r="Q29" s="22">
        <f t="shared" si="61"/>
        <v>0.0588235294117647</v>
      </c>
      <c r="R29" s="21">
        <f t="shared" si="60"/>
        <v>3</v>
      </c>
      <c r="S29" s="22">
        <f t="shared" si="61"/>
        <v>0.0126050420168067</v>
      </c>
    </row>
    <row r="30" spans="1:19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 ht="15" customHeight="1" spans="1:19">
      <c r="A31" s="12" t="s">
        <v>18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ht="15" customHeight="1" spans="1:19">
      <c r="A32" s="15" t="s">
        <v>19</v>
      </c>
      <c r="B32" s="14" t="s">
        <v>2</v>
      </c>
      <c r="C32" s="14"/>
      <c r="D32" s="14" t="s">
        <v>3</v>
      </c>
      <c r="E32" s="14"/>
      <c r="F32" s="14" t="s">
        <v>4</v>
      </c>
      <c r="G32" s="14"/>
      <c r="H32" s="14" t="s">
        <v>5</v>
      </c>
      <c r="I32" s="14"/>
      <c r="J32" s="14" t="s">
        <v>6</v>
      </c>
      <c r="K32" s="14"/>
      <c r="L32" s="14" t="s">
        <v>7</v>
      </c>
      <c r="M32" s="14"/>
      <c r="N32" s="14" t="s">
        <v>8</v>
      </c>
      <c r="O32" s="14"/>
      <c r="P32" s="14" t="s">
        <v>9</v>
      </c>
      <c r="Q32" s="14"/>
      <c r="R32" s="14" t="s">
        <v>10</v>
      </c>
      <c r="S32" s="14"/>
    </row>
    <row r="33" ht="14.25" spans="1:19">
      <c r="A33" s="15"/>
      <c r="B33" s="14" t="s">
        <v>11</v>
      </c>
      <c r="C33" s="14" t="s">
        <v>12</v>
      </c>
      <c r="D33" s="14" t="s">
        <v>11</v>
      </c>
      <c r="E33" s="14" t="s">
        <v>12</v>
      </c>
      <c r="F33" s="14" t="s">
        <v>11</v>
      </c>
      <c r="G33" s="14" t="s">
        <v>12</v>
      </c>
      <c r="H33" s="14" t="s">
        <v>11</v>
      </c>
      <c r="I33" s="14" t="s">
        <v>12</v>
      </c>
      <c r="J33" s="14" t="s">
        <v>11</v>
      </c>
      <c r="K33" s="14" t="s">
        <v>12</v>
      </c>
      <c r="L33" s="14" t="s">
        <v>11</v>
      </c>
      <c r="M33" s="14" t="s">
        <v>12</v>
      </c>
      <c r="N33" s="14" t="s">
        <v>11</v>
      </c>
      <c r="O33" s="14" t="s">
        <v>12</v>
      </c>
      <c r="P33" s="14" t="s">
        <v>11</v>
      </c>
      <c r="Q33" s="14" t="s">
        <v>12</v>
      </c>
      <c r="R33" s="14" t="s">
        <v>11</v>
      </c>
      <c r="S33" s="14" t="s">
        <v>12</v>
      </c>
    </row>
    <row r="34" ht="14.25" spans="1:19">
      <c r="A34" s="15">
        <v>901</v>
      </c>
      <c r="B34" s="16">
        <v>7</v>
      </c>
      <c r="C34" s="17">
        <f t="shared" ref="C34:G34" si="62">B34/49</f>
        <v>0.142857142857143</v>
      </c>
      <c r="D34" s="16">
        <v>12</v>
      </c>
      <c r="E34" s="17">
        <f t="shared" si="62"/>
        <v>0.244897959183673</v>
      </c>
      <c r="F34" s="14">
        <f t="shared" ref="F34:F38" si="63">D34+B34</f>
        <v>19</v>
      </c>
      <c r="G34" s="17">
        <f t="shared" si="62"/>
        <v>0.387755102040816</v>
      </c>
      <c r="H34" s="16">
        <v>14</v>
      </c>
      <c r="I34" s="17">
        <f t="shared" ref="I34:M34" si="64">H34/49</f>
        <v>0.285714285714286</v>
      </c>
      <c r="J34" s="14">
        <f t="shared" ref="J34:J38" si="65">H34+F34</f>
        <v>33</v>
      </c>
      <c r="K34" s="17">
        <f t="shared" si="64"/>
        <v>0.673469387755102</v>
      </c>
      <c r="L34" s="16">
        <v>7</v>
      </c>
      <c r="M34" s="17">
        <f t="shared" si="64"/>
        <v>0.142857142857143</v>
      </c>
      <c r="N34" s="14">
        <f t="shared" ref="N34:N38" si="66">L34+J34</f>
        <v>40</v>
      </c>
      <c r="O34" s="17">
        <f t="shared" ref="O34:S34" si="67">N34/49</f>
        <v>0.816326530612245</v>
      </c>
      <c r="P34" s="16">
        <v>6</v>
      </c>
      <c r="Q34" s="17">
        <f t="shared" si="67"/>
        <v>0.122448979591837</v>
      </c>
      <c r="R34" s="16">
        <v>1</v>
      </c>
      <c r="S34" s="17">
        <f t="shared" si="67"/>
        <v>0.0204081632653061</v>
      </c>
    </row>
    <row r="35" ht="14.25" spans="1:19">
      <c r="A35" s="15">
        <v>902</v>
      </c>
      <c r="B35" s="18">
        <v>4</v>
      </c>
      <c r="C35" s="17">
        <f t="shared" ref="C35:G35" si="68">B35/48</f>
        <v>0.0833333333333333</v>
      </c>
      <c r="D35" s="18">
        <v>14</v>
      </c>
      <c r="E35" s="17">
        <f t="shared" si="68"/>
        <v>0.291666666666667</v>
      </c>
      <c r="F35" s="14">
        <f t="shared" si="63"/>
        <v>18</v>
      </c>
      <c r="G35" s="17">
        <f t="shared" si="68"/>
        <v>0.375</v>
      </c>
      <c r="H35" s="18">
        <v>15</v>
      </c>
      <c r="I35" s="17">
        <f t="shared" ref="I35:M35" si="69">H35/48</f>
        <v>0.3125</v>
      </c>
      <c r="J35" s="14">
        <f t="shared" si="65"/>
        <v>33</v>
      </c>
      <c r="K35" s="17">
        <f t="shared" si="69"/>
        <v>0.6875</v>
      </c>
      <c r="L35" s="18">
        <v>7</v>
      </c>
      <c r="M35" s="17">
        <f t="shared" si="69"/>
        <v>0.145833333333333</v>
      </c>
      <c r="N35" s="14">
        <f t="shared" si="66"/>
        <v>40</v>
      </c>
      <c r="O35" s="17">
        <f t="shared" ref="O35:S35" si="70">N35/48</f>
        <v>0.833333333333333</v>
      </c>
      <c r="P35" s="18">
        <v>6</v>
      </c>
      <c r="Q35" s="17">
        <f t="shared" si="70"/>
        <v>0.125</v>
      </c>
      <c r="R35" s="18">
        <v>1</v>
      </c>
      <c r="S35" s="17">
        <f t="shared" si="70"/>
        <v>0.0208333333333333</v>
      </c>
    </row>
    <row r="36" ht="14.25" spans="1:19">
      <c r="A36" s="15">
        <v>903</v>
      </c>
      <c r="B36" s="18">
        <v>8</v>
      </c>
      <c r="C36" s="17">
        <f t="shared" ref="C36:G36" si="71">B36/48</f>
        <v>0.166666666666667</v>
      </c>
      <c r="D36" s="18">
        <v>12</v>
      </c>
      <c r="E36" s="17">
        <f t="shared" si="71"/>
        <v>0.25</v>
      </c>
      <c r="F36" s="14">
        <f t="shared" si="63"/>
        <v>20</v>
      </c>
      <c r="G36" s="17">
        <f t="shared" si="71"/>
        <v>0.416666666666667</v>
      </c>
      <c r="H36" s="18">
        <v>14</v>
      </c>
      <c r="I36" s="17">
        <f t="shared" ref="I36:M36" si="72">H36/48</f>
        <v>0.291666666666667</v>
      </c>
      <c r="J36" s="14">
        <f t="shared" si="65"/>
        <v>34</v>
      </c>
      <c r="K36" s="17">
        <f t="shared" si="72"/>
        <v>0.708333333333333</v>
      </c>
      <c r="L36" s="18">
        <v>10</v>
      </c>
      <c r="M36" s="17">
        <f t="shared" si="72"/>
        <v>0.208333333333333</v>
      </c>
      <c r="N36" s="14">
        <f t="shared" si="66"/>
        <v>44</v>
      </c>
      <c r="O36" s="17">
        <f t="shared" ref="O36:S36" si="73">N36/48</f>
        <v>0.916666666666667</v>
      </c>
      <c r="P36" s="18">
        <v>3</v>
      </c>
      <c r="Q36" s="17">
        <f t="shared" si="73"/>
        <v>0.0625</v>
      </c>
      <c r="R36" s="18">
        <v>0</v>
      </c>
      <c r="S36" s="17">
        <f t="shared" si="73"/>
        <v>0</v>
      </c>
    </row>
    <row r="37" ht="14.25" spans="1:19">
      <c r="A37" s="15">
        <v>904</v>
      </c>
      <c r="B37" s="16">
        <v>9</v>
      </c>
      <c r="C37" s="17">
        <f t="shared" ref="C37:G37" si="74">B37/47</f>
        <v>0.191489361702128</v>
      </c>
      <c r="D37" s="16">
        <v>16</v>
      </c>
      <c r="E37" s="17">
        <f t="shared" si="74"/>
        <v>0.340425531914894</v>
      </c>
      <c r="F37" s="14">
        <f t="shared" si="63"/>
        <v>25</v>
      </c>
      <c r="G37" s="17">
        <f t="shared" si="74"/>
        <v>0.531914893617021</v>
      </c>
      <c r="H37" s="16">
        <v>11</v>
      </c>
      <c r="I37" s="17">
        <f t="shared" ref="I37:M37" si="75">H37/47</f>
        <v>0.234042553191489</v>
      </c>
      <c r="J37" s="14">
        <f t="shared" si="65"/>
        <v>36</v>
      </c>
      <c r="K37" s="17">
        <f t="shared" si="75"/>
        <v>0.765957446808511</v>
      </c>
      <c r="L37" s="16">
        <v>7</v>
      </c>
      <c r="M37" s="17">
        <f t="shared" si="75"/>
        <v>0.148936170212766</v>
      </c>
      <c r="N37" s="14">
        <f t="shared" si="66"/>
        <v>43</v>
      </c>
      <c r="O37" s="17">
        <f t="shared" ref="O37:S37" si="76">N37/47</f>
        <v>0.914893617021277</v>
      </c>
      <c r="P37" s="16">
        <v>3</v>
      </c>
      <c r="Q37" s="17">
        <f t="shared" si="76"/>
        <v>0.0638297872340425</v>
      </c>
      <c r="R37" s="16">
        <v>0</v>
      </c>
      <c r="S37" s="17">
        <f t="shared" si="76"/>
        <v>0</v>
      </c>
    </row>
    <row r="38" ht="14.25" spans="1:19">
      <c r="A38" s="19">
        <v>905</v>
      </c>
      <c r="B38" s="20">
        <v>4</v>
      </c>
      <c r="C38" s="17">
        <f t="shared" ref="C38:G38" si="77">B38/46</f>
        <v>0.0869565217391304</v>
      </c>
      <c r="D38" s="20">
        <v>20</v>
      </c>
      <c r="E38" s="17">
        <f t="shared" si="77"/>
        <v>0.434782608695652</v>
      </c>
      <c r="F38" s="14">
        <f t="shared" si="63"/>
        <v>24</v>
      </c>
      <c r="G38" s="17">
        <f t="shared" si="77"/>
        <v>0.521739130434783</v>
      </c>
      <c r="H38" s="20">
        <v>11</v>
      </c>
      <c r="I38" s="17">
        <f t="shared" ref="I38:M38" si="78">H38/46</f>
        <v>0.239130434782609</v>
      </c>
      <c r="J38" s="14">
        <f t="shared" si="65"/>
        <v>35</v>
      </c>
      <c r="K38" s="17">
        <f t="shared" si="78"/>
        <v>0.760869565217391</v>
      </c>
      <c r="L38" s="20">
        <v>5</v>
      </c>
      <c r="M38" s="17">
        <f t="shared" si="78"/>
        <v>0.108695652173913</v>
      </c>
      <c r="N38" s="14">
        <f t="shared" si="66"/>
        <v>40</v>
      </c>
      <c r="O38" s="17">
        <f t="shared" ref="O38:S38" si="79">N38/46</f>
        <v>0.869565217391304</v>
      </c>
      <c r="P38" s="20">
        <v>4</v>
      </c>
      <c r="Q38" s="17">
        <f t="shared" si="79"/>
        <v>0.0869565217391304</v>
      </c>
      <c r="R38" s="20">
        <v>1</v>
      </c>
      <c r="S38" s="17">
        <f t="shared" si="79"/>
        <v>0.0217391304347826</v>
      </c>
    </row>
    <row r="39" spans="1:19">
      <c r="A39" s="11" t="s">
        <v>13</v>
      </c>
      <c r="B39" s="21">
        <f t="shared" ref="B39:F39" si="80">B34+B35+B36+B37+B38</f>
        <v>32</v>
      </c>
      <c r="C39" s="22">
        <f t="shared" ref="C39:G39" si="81">B39/238</f>
        <v>0.134453781512605</v>
      </c>
      <c r="D39" s="21">
        <f t="shared" si="80"/>
        <v>74</v>
      </c>
      <c r="E39" s="22">
        <f t="shared" si="81"/>
        <v>0.310924369747899</v>
      </c>
      <c r="F39" s="21">
        <f t="shared" si="80"/>
        <v>106</v>
      </c>
      <c r="G39" s="22">
        <f t="shared" si="81"/>
        <v>0.445378151260504</v>
      </c>
      <c r="H39" s="21">
        <f t="shared" ref="H39:L39" si="82">H34+H35+H36+H37+H38</f>
        <v>65</v>
      </c>
      <c r="I39" s="22">
        <f t="shared" ref="I39:M39" si="83">H39/238</f>
        <v>0.273109243697479</v>
      </c>
      <c r="J39" s="21">
        <f t="shared" si="82"/>
        <v>171</v>
      </c>
      <c r="K39" s="22">
        <f t="shared" si="83"/>
        <v>0.718487394957983</v>
      </c>
      <c r="L39" s="21">
        <f t="shared" si="82"/>
        <v>36</v>
      </c>
      <c r="M39" s="22">
        <f t="shared" si="83"/>
        <v>0.151260504201681</v>
      </c>
      <c r="N39" s="21">
        <f t="shared" ref="N39:R39" si="84">N34+N35+N36+N37+N38</f>
        <v>207</v>
      </c>
      <c r="O39" s="22">
        <f t="shared" ref="O39:S39" si="85">N39/238</f>
        <v>0.869747899159664</v>
      </c>
      <c r="P39" s="21">
        <f t="shared" si="84"/>
        <v>22</v>
      </c>
      <c r="Q39" s="22">
        <f t="shared" si="85"/>
        <v>0.092436974789916</v>
      </c>
      <c r="R39" s="21">
        <f t="shared" si="84"/>
        <v>3</v>
      </c>
      <c r="S39" s="22">
        <f t="shared" si="85"/>
        <v>0.0126050420168067</v>
      </c>
    </row>
    <row r="40" spans="1:19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 ht="15" customHeight="1" spans="1:19">
      <c r="A41" s="12" t="s">
        <v>20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ht="15" customHeight="1" spans="1:19">
      <c r="A42" s="15" t="s">
        <v>21</v>
      </c>
      <c r="B42" s="14" t="s">
        <v>2</v>
      </c>
      <c r="C42" s="14"/>
      <c r="D42" s="14" t="s">
        <v>3</v>
      </c>
      <c r="E42" s="14"/>
      <c r="F42" s="14" t="s">
        <v>4</v>
      </c>
      <c r="G42" s="14"/>
      <c r="H42" s="14" t="s">
        <v>5</v>
      </c>
      <c r="I42" s="14"/>
      <c r="J42" s="14" t="s">
        <v>6</v>
      </c>
      <c r="K42" s="14"/>
      <c r="L42" s="14" t="s">
        <v>7</v>
      </c>
      <c r="M42" s="14"/>
      <c r="N42" s="14" t="s">
        <v>8</v>
      </c>
      <c r="O42" s="14"/>
      <c r="P42" s="14" t="s">
        <v>9</v>
      </c>
      <c r="Q42" s="14"/>
      <c r="R42" s="14" t="s">
        <v>10</v>
      </c>
      <c r="S42" s="14"/>
    </row>
    <row r="43" ht="14.25" spans="1:19">
      <c r="A43" s="15"/>
      <c r="B43" s="14" t="s">
        <v>11</v>
      </c>
      <c r="C43" s="14" t="s">
        <v>12</v>
      </c>
      <c r="D43" s="14" t="s">
        <v>11</v>
      </c>
      <c r="E43" s="14" t="s">
        <v>12</v>
      </c>
      <c r="F43" s="14" t="s">
        <v>11</v>
      </c>
      <c r="G43" s="14" t="s">
        <v>12</v>
      </c>
      <c r="H43" s="14" t="s">
        <v>11</v>
      </c>
      <c r="I43" s="14" t="s">
        <v>12</v>
      </c>
      <c r="J43" s="14" t="s">
        <v>11</v>
      </c>
      <c r="K43" s="14" t="s">
        <v>12</v>
      </c>
      <c r="L43" s="14" t="s">
        <v>11</v>
      </c>
      <c r="M43" s="14" t="s">
        <v>12</v>
      </c>
      <c r="N43" s="14" t="s">
        <v>11</v>
      </c>
      <c r="O43" s="14" t="s">
        <v>12</v>
      </c>
      <c r="P43" s="14" t="s">
        <v>11</v>
      </c>
      <c r="Q43" s="14" t="s">
        <v>12</v>
      </c>
      <c r="R43" s="14" t="s">
        <v>11</v>
      </c>
      <c r="S43" s="14" t="s">
        <v>12</v>
      </c>
    </row>
    <row r="44" ht="14.25" spans="1:19">
      <c r="A44" s="15">
        <v>901</v>
      </c>
      <c r="B44" s="16">
        <v>1</v>
      </c>
      <c r="C44" s="17">
        <f t="shared" ref="C44:G44" si="86">B44/49</f>
        <v>0.0204081632653061</v>
      </c>
      <c r="D44" s="16">
        <v>14</v>
      </c>
      <c r="E44" s="17">
        <f t="shared" si="86"/>
        <v>0.285714285714286</v>
      </c>
      <c r="F44" s="14">
        <f t="shared" ref="F44:F48" si="87">D44+B44</f>
        <v>15</v>
      </c>
      <c r="G44" s="17">
        <f t="shared" si="86"/>
        <v>0.306122448979592</v>
      </c>
      <c r="H44" s="16">
        <v>16</v>
      </c>
      <c r="I44" s="17">
        <f t="shared" ref="I44:M44" si="88">H44/49</f>
        <v>0.326530612244898</v>
      </c>
      <c r="J44" s="14">
        <f t="shared" ref="J44:J48" si="89">H44+F44</f>
        <v>31</v>
      </c>
      <c r="K44" s="17">
        <f t="shared" si="88"/>
        <v>0.63265306122449</v>
      </c>
      <c r="L44" s="16">
        <v>11</v>
      </c>
      <c r="M44" s="17">
        <f t="shared" si="88"/>
        <v>0.224489795918367</v>
      </c>
      <c r="N44" s="14">
        <f t="shared" ref="N44:N48" si="90">L44+J44</f>
        <v>42</v>
      </c>
      <c r="O44" s="17">
        <f t="shared" ref="O44:S44" si="91">N44/49</f>
        <v>0.857142857142857</v>
      </c>
      <c r="P44" s="16">
        <v>3</v>
      </c>
      <c r="Q44" s="17">
        <f t="shared" si="91"/>
        <v>0.0612244897959184</v>
      </c>
      <c r="R44" s="16">
        <v>0</v>
      </c>
      <c r="S44" s="17">
        <f t="shared" si="91"/>
        <v>0</v>
      </c>
    </row>
    <row r="45" ht="14.25" spans="1:19">
      <c r="A45" s="15">
        <v>902</v>
      </c>
      <c r="B45" s="18">
        <v>2</v>
      </c>
      <c r="C45" s="17">
        <f t="shared" ref="C45:G45" si="92">B45/48</f>
        <v>0.0416666666666667</v>
      </c>
      <c r="D45" s="18">
        <v>8</v>
      </c>
      <c r="E45" s="17">
        <f t="shared" si="92"/>
        <v>0.166666666666667</v>
      </c>
      <c r="F45" s="14">
        <f t="shared" si="87"/>
        <v>10</v>
      </c>
      <c r="G45" s="17">
        <f t="shared" si="92"/>
        <v>0.208333333333333</v>
      </c>
      <c r="H45" s="18">
        <v>23</v>
      </c>
      <c r="I45" s="17">
        <f t="shared" ref="I45:M45" si="93">H45/48</f>
        <v>0.479166666666667</v>
      </c>
      <c r="J45" s="14">
        <f t="shared" si="89"/>
        <v>33</v>
      </c>
      <c r="K45" s="17">
        <f t="shared" si="93"/>
        <v>0.6875</v>
      </c>
      <c r="L45" s="18">
        <v>7</v>
      </c>
      <c r="M45" s="17">
        <f t="shared" si="93"/>
        <v>0.145833333333333</v>
      </c>
      <c r="N45" s="14">
        <f t="shared" si="90"/>
        <v>40</v>
      </c>
      <c r="O45" s="17">
        <f t="shared" ref="O45:S45" si="94">N45/48</f>
        <v>0.833333333333333</v>
      </c>
      <c r="P45" s="18">
        <v>5</v>
      </c>
      <c r="Q45" s="17">
        <f t="shared" si="94"/>
        <v>0.104166666666667</v>
      </c>
      <c r="R45" s="18">
        <v>0</v>
      </c>
      <c r="S45" s="17">
        <f t="shared" si="94"/>
        <v>0</v>
      </c>
    </row>
    <row r="46" ht="14.25" spans="1:19">
      <c r="A46" s="15">
        <v>903</v>
      </c>
      <c r="B46" s="18">
        <v>3</v>
      </c>
      <c r="C46" s="17">
        <f t="shared" ref="C46:G46" si="95">B46/48</f>
        <v>0.0625</v>
      </c>
      <c r="D46" s="18">
        <v>15</v>
      </c>
      <c r="E46" s="17">
        <f t="shared" si="95"/>
        <v>0.3125</v>
      </c>
      <c r="F46" s="14">
        <f t="shared" si="87"/>
        <v>18</v>
      </c>
      <c r="G46" s="17">
        <f t="shared" si="95"/>
        <v>0.375</v>
      </c>
      <c r="H46" s="18">
        <v>14</v>
      </c>
      <c r="I46" s="17">
        <f t="shared" ref="I46:M46" si="96">H46/48</f>
        <v>0.291666666666667</v>
      </c>
      <c r="J46" s="14">
        <f t="shared" si="89"/>
        <v>32</v>
      </c>
      <c r="K46" s="17">
        <f t="shared" si="96"/>
        <v>0.666666666666667</v>
      </c>
      <c r="L46" s="18">
        <v>10</v>
      </c>
      <c r="M46" s="17">
        <f t="shared" si="96"/>
        <v>0.208333333333333</v>
      </c>
      <c r="N46" s="14">
        <f t="shared" si="90"/>
        <v>42</v>
      </c>
      <c r="O46" s="17">
        <f t="shared" ref="O46:S46" si="97">N46/48</f>
        <v>0.875</v>
      </c>
      <c r="P46" s="18">
        <v>3</v>
      </c>
      <c r="Q46" s="17">
        <f t="shared" si="97"/>
        <v>0.0625</v>
      </c>
      <c r="R46" s="18">
        <v>0</v>
      </c>
      <c r="S46" s="17">
        <f t="shared" si="97"/>
        <v>0</v>
      </c>
    </row>
    <row r="47" ht="14.25" spans="1:19">
      <c r="A47" s="15">
        <v>904</v>
      </c>
      <c r="B47" s="16">
        <v>0</v>
      </c>
      <c r="C47" s="17">
        <f t="shared" ref="C47:G47" si="98">B47/47</f>
        <v>0</v>
      </c>
      <c r="D47" s="16">
        <v>13</v>
      </c>
      <c r="E47" s="17">
        <f t="shared" si="98"/>
        <v>0.276595744680851</v>
      </c>
      <c r="F47" s="14">
        <f t="shared" si="87"/>
        <v>13</v>
      </c>
      <c r="G47" s="17">
        <f t="shared" si="98"/>
        <v>0.276595744680851</v>
      </c>
      <c r="H47" s="16">
        <v>16</v>
      </c>
      <c r="I47" s="17">
        <f t="shared" ref="I47:M47" si="99">H47/47</f>
        <v>0.340425531914894</v>
      </c>
      <c r="J47" s="14">
        <f t="shared" si="89"/>
        <v>29</v>
      </c>
      <c r="K47" s="17">
        <f t="shared" si="99"/>
        <v>0.617021276595745</v>
      </c>
      <c r="L47" s="16">
        <v>12</v>
      </c>
      <c r="M47" s="17">
        <f t="shared" si="99"/>
        <v>0.25531914893617</v>
      </c>
      <c r="N47" s="14">
        <f t="shared" si="90"/>
        <v>41</v>
      </c>
      <c r="O47" s="17">
        <f t="shared" ref="O47:S47" si="100">N47/47</f>
        <v>0.872340425531915</v>
      </c>
      <c r="P47" s="16">
        <v>5</v>
      </c>
      <c r="Q47" s="17">
        <f t="shared" si="100"/>
        <v>0.106382978723404</v>
      </c>
      <c r="R47" s="16">
        <v>0</v>
      </c>
      <c r="S47" s="17">
        <f t="shared" si="100"/>
        <v>0</v>
      </c>
    </row>
    <row r="48" ht="14.25" spans="1:19">
      <c r="A48" s="19">
        <v>905</v>
      </c>
      <c r="B48" s="20">
        <v>1</v>
      </c>
      <c r="C48" s="17">
        <f t="shared" ref="C48:G48" si="101">B48/46</f>
        <v>0.0217391304347826</v>
      </c>
      <c r="D48" s="20">
        <v>7</v>
      </c>
      <c r="E48" s="17">
        <f t="shared" si="101"/>
        <v>0.152173913043478</v>
      </c>
      <c r="F48" s="14">
        <f t="shared" si="87"/>
        <v>8</v>
      </c>
      <c r="G48" s="17">
        <f t="shared" si="101"/>
        <v>0.173913043478261</v>
      </c>
      <c r="H48" s="20">
        <v>17</v>
      </c>
      <c r="I48" s="17">
        <f t="shared" ref="I48:M48" si="102">H48/46</f>
        <v>0.369565217391304</v>
      </c>
      <c r="J48" s="14">
        <f t="shared" si="89"/>
        <v>25</v>
      </c>
      <c r="K48" s="17">
        <f t="shared" si="102"/>
        <v>0.543478260869565</v>
      </c>
      <c r="L48" s="20">
        <v>15</v>
      </c>
      <c r="M48" s="17">
        <f t="shared" si="102"/>
        <v>0.326086956521739</v>
      </c>
      <c r="N48" s="14">
        <f t="shared" si="90"/>
        <v>40</v>
      </c>
      <c r="O48" s="17">
        <f t="shared" ref="O48:S48" si="103">N48/46</f>
        <v>0.869565217391304</v>
      </c>
      <c r="P48" s="20">
        <v>4</v>
      </c>
      <c r="Q48" s="17">
        <f t="shared" si="103"/>
        <v>0.0869565217391304</v>
      </c>
      <c r="R48" s="20">
        <v>0</v>
      </c>
      <c r="S48" s="17">
        <f t="shared" si="103"/>
        <v>0</v>
      </c>
    </row>
    <row r="49" spans="1:19">
      <c r="A49" s="11" t="s">
        <v>13</v>
      </c>
      <c r="B49" s="21">
        <f t="shared" ref="B49:F49" si="104">B44+B45+B46+B47+B48</f>
        <v>7</v>
      </c>
      <c r="C49" s="22">
        <f t="shared" ref="C49:G49" si="105">B49/238</f>
        <v>0.0294117647058824</v>
      </c>
      <c r="D49" s="21">
        <f t="shared" si="104"/>
        <v>57</v>
      </c>
      <c r="E49" s="22">
        <f t="shared" si="105"/>
        <v>0.239495798319328</v>
      </c>
      <c r="F49" s="21">
        <f t="shared" si="104"/>
        <v>64</v>
      </c>
      <c r="G49" s="22">
        <f t="shared" si="105"/>
        <v>0.26890756302521</v>
      </c>
      <c r="H49" s="21">
        <f t="shared" ref="H49:L49" si="106">H44+H45+H46+H47+H48</f>
        <v>86</v>
      </c>
      <c r="I49" s="22">
        <f t="shared" ref="I49:M49" si="107">H49/238</f>
        <v>0.361344537815126</v>
      </c>
      <c r="J49" s="21">
        <f t="shared" si="106"/>
        <v>150</v>
      </c>
      <c r="K49" s="22">
        <f t="shared" si="107"/>
        <v>0.630252100840336</v>
      </c>
      <c r="L49" s="21">
        <f t="shared" si="106"/>
        <v>55</v>
      </c>
      <c r="M49" s="22">
        <f t="shared" si="107"/>
        <v>0.23109243697479</v>
      </c>
      <c r="N49" s="21">
        <f t="shared" ref="N49:R49" si="108">N44+N45+N46+N47+N48</f>
        <v>205</v>
      </c>
      <c r="O49" s="22">
        <f t="shared" ref="O49:S49" si="109">N49/238</f>
        <v>0.861344537815126</v>
      </c>
      <c r="P49" s="21">
        <f t="shared" si="108"/>
        <v>20</v>
      </c>
      <c r="Q49" s="22">
        <f t="shared" si="109"/>
        <v>0.0840336134453782</v>
      </c>
      <c r="R49" s="21">
        <f t="shared" si="108"/>
        <v>0</v>
      </c>
      <c r="S49" s="22">
        <f t="shared" si="109"/>
        <v>0</v>
      </c>
    </row>
    <row r="50" spans="1:19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</row>
    <row r="51" ht="15" customHeight="1" spans="1:19">
      <c r="A51" s="12" t="s">
        <v>22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ht="15" customHeight="1" spans="1:19">
      <c r="A52" s="15" t="s">
        <v>23</v>
      </c>
      <c r="B52" s="14" t="s">
        <v>2</v>
      </c>
      <c r="C52" s="14"/>
      <c r="D52" s="14" t="s">
        <v>3</v>
      </c>
      <c r="E52" s="14"/>
      <c r="F52" s="14" t="s">
        <v>4</v>
      </c>
      <c r="G52" s="14"/>
      <c r="H52" s="14" t="s">
        <v>5</v>
      </c>
      <c r="I52" s="14"/>
      <c r="J52" s="14" t="s">
        <v>6</v>
      </c>
      <c r="K52" s="14"/>
      <c r="L52" s="14" t="s">
        <v>7</v>
      </c>
      <c r="M52" s="14"/>
      <c r="N52" s="14" t="s">
        <v>8</v>
      </c>
      <c r="O52" s="14"/>
      <c r="P52" s="14" t="s">
        <v>9</v>
      </c>
      <c r="Q52" s="14"/>
      <c r="R52" s="14" t="s">
        <v>10</v>
      </c>
      <c r="S52" s="14"/>
    </row>
    <row r="53" ht="14.25" spans="1:19">
      <c r="A53" s="15"/>
      <c r="B53" s="14" t="s">
        <v>11</v>
      </c>
      <c r="C53" s="14" t="s">
        <v>12</v>
      </c>
      <c r="D53" s="14" t="s">
        <v>11</v>
      </c>
      <c r="E53" s="14" t="s">
        <v>12</v>
      </c>
      <c r="F53" s="14" t="s">
        <v>11</v>
      </c>
      <c r="G53" s="14" t="s">
        <v>12</v>
      </c>
      <c r="H53" s="14" t="s">
        <v>11</v>
      </c>
      <c r="I53" s="14" t="s">
        <v>12</v>
      </c>
      <c r="J53" s="14" t="s">
        <v>11</v>
      </c>
      <c r="K53" s="14" t="s">
        <v>12</v>
      </c>
      <c r="L53" s="14" t="s">
        <v>11</v>
      </c>
      <c r="M53" s="14" t="s">
        <v>12</v>
      </c>
      <c r="N53" s="14" t="s">
        <v>11</v>
      </c>
      <c r="O53" s="14" t="s">
        <v>12</v>
      </c>
      <c r="P53" s="14" t="s">
        <v>11</v>
      </c>
      <c r="Q53" s="14" t="s">
        <v>12</v>
      </c>
      <c r="R53" s="14" t="s">
        <v>11</v>
      </c>
      <c r="S53" s="14" t="s">
        <v>12</v>
      </c>
    </row>
    <row r="54" ht="14.25" spans="1:19">
      <c r="A54" s="15">
        <v>901</v>
      </c>
      <c r="B54" s="16">
        <v>2</v>
      </c>
      <c r="C54" s="17">
        <f t="shared" ref="C54:G54" si="110">B54/49</f>
        <v>0.0408163265306122</v>
      </c>
      <c r="D54" s="16">
        <v>7</v>
      </c>
      <c r="E54" s="17">
        <f t="shared" si="110"/>
        <v>0.142857142857143</v>
      </c>
      <c r="F54" s="14">
        <f t="shared" ref="F54:F58" si="111">D54+B54</f>
        <v>9</v>
      </c>
      <c r="G54" s="17">
        <f t="shared" si="110"/>
        <v>0.183673469387755</v>
      </c>
      <c r="H54" s="16">
        <v>18</v>
      </c>
      <c r="I54" s="17">
        <f t="shared" ref="I54:M54" si="112">H54/49</f>
        <v>0.36734693877551</v>
      </c>
      <c r="J54" s="14">
        <f t="shared" ref="J54:J58" si="113">H54+F54</f>
        <v>27</v>
      </c>
      <c r="K54" s="17">
        <f t="shared" si="112"/>
        <v>0.551020408163265</v>
      </c>
      <c r="L54" s="16">
        <v>12</v>
      </c>
      <c r="M54" s="17">
        <f t="shared" si="112"/>
        <v>0.244897959183673</v>
      </c>
      <c r="N54" s="14">
        <f t="shared" ref="N54:N58" si="114">L54+J54</f>
        <v>39</v>
      </c>
      <c r="O54" s="17">
        <f t="shared" ref="O54:S54" si="115">N54/49</f>
        <v>0.795918367346939</v>
      </c>
      <c r="P54" s="16">
        <v>5</v>
      </c>
      <c r="Q54" s="17">
        <f t="shared" si="115"/>
        <v>0.102040816326531</v>
      </c>
      <c r="R54" s="16">
        <v>1</v>
      </c>
      <c r="S54" s="17">
        <f t="shared" si="115"/>
        <v>0.0204081632653061</v>
      </c>
    </row>
    <row r="55" ht="14.25" spans="1:19">
      <c r="A55" s="15">
        <v>902</v>
      </c>
      <c r="B55" s="18">
        <v>4</v>
      </c>
      <c r="C55" s="17">
        <f t="shared" ref="C55:G55" si="116">B55/48</f>
        <v>0.0833333333333333</v>
      </c>
      <c r="D55" s="18">
        <v>8</v>
      </c>
      <c r="E55" s="17">
        <f t="shared" si="116"/>
        <v>0.166666666666667</v>
      </c>
      <c r="F55" s="14">
        <f t="shared" si="111"/>
        <v>12</v>
      </c>
      <c r="G55" s="17">
        <f t="shared" si="116"/>
        <v>0.25</v>
      </c>
      <c r="H55" s="18">
        <v>14</v>
      </c>
      <c r="I55" s="17">
        <f t="shared" ref="I55:M55" si="117">H55/48</f>
        <v>0.291666666666667</v>
      </c>
      <c r="J55" s="14">
        <f t="shared" si="113"/>
        <v>26</v>
      </c>
      <c r="K55" s="17">
        <f t="shared" si="117"/>
        <v>0.541666666666667</v>
      </c>
      <c r="L55" s="18">
        <v>11</v>
      </c>
      <c r="M55" s="17">
        <f t="shared" si="117"/>
        <v>0.229166666666667</v>
      </c>
      <c r="N55" s="14">
        <f t="shared" si="114"/>
        <v>37</v>
      </c>
      <c r="O55" s="17">
        <f t="shared" ref="O55:S55" si="118">N55/48</f>
        <v>0.770833333333333</v>
      </c>
      <c r="P55" s="18">
        <v>7</v>
      </c>
      <c r="Q55" s="17">
        <f t="shared" si="118"/>
        <v>0.145833333333333</v>
      </c>
      <c r="R55" s="18">
        <v>1</v>
      </c>
      <c r="S55" s="17">
        <f t="shared" si="118"/>
        <v>0.0208333333333333</v>
      </c>
    </row>
    <row r="56" ht="14.25" spans="1:19">
      <c r="A56" s="15">
        <v>903</v>
      </c>
      <c r="B56" s="18">
        <v>4</v>
      </c>
      <c r="C56" s="17">
        <f t="shared" ref="C56:G56" si="119">B56/48</f>
        <v>0.0833333333333333</v>
      </c>
      <c r="D56" s="18">
        <v>15</v>
      </c>
      <c r="E56" s="17">
        <f t="shared" si="119"/>
        <v>0.3125</v>
      </c>
      <c r="F56" s="14">
        <f t="shared" si="111"/>
        <v>19</v>
      </c>
      <c r="G56" s="17">
        <f t="shared" si="119"/>
        <v>0.395833333333333</v>
      </c>
      <c r="H56" s="18">
        <v>13</v>
      </c>
      <c r="I56" s="17">
        <f t="shared" ref="I56:M56" si="120">H56/48</f>
        <v>0.270833333333333</v>
      </c>
      <c r="J56" s="14">
        <f t="shared" si="113"/>
        <v>32</v>
      </c>
      <c r="K56" s="17">
        <f t="shared" si="120"/>
        <v>0.666666666666667</v>
      </c>
      <c r="L56" s="18">
        <v>10</v>
      </c>
      <c r="M56" s="17">
        <f t="shared" si="120"/>
        <v>0.208333333333333</v>
      </c>
      <c r="N56" s="14">
        <f t="shared" si="114"/>
        <v>42</v>
      </c>
      <c r="O56" s="17">
        <f t="shared" ref="O56:S56" si="121">N56/48</f>
        <v>0.875</v>
      </c>
      <c r="P56" s="18">
        <v>5</v>
      </c>
      <c r="Q56" s="17">
        <f t="shared" si="121"/>
        <v>0.104166666666667</v>
      </c>
      <c r="R56" s="18">
        <v>0</v>
      </c>
      <c r="S56" s="17">
        <f t="shared" si="121"/>
        <v>0</v>
      </c>
    </row>
    <row r="57" ht="14.25" spans="1:19">
      <c r="A57" s="15">
        <v>904</v>
      </c>
      <c r="B57" s="16">
        <v>5</v>
      </c>
      <c r="C57" s="17">
        <f t="shared" ref="C57:G57" si="122">B57/47</f>
        <v>0.106382978723404</v>
      </c>
      <c r="D57" s="16">
        <v>10</v>
      </c>
      <c r="E57" s="17">
        <f t="shared" si="122"/>
        <v>0.212765957446809</v>
      </c>
      <c r="F57" s="14">
        <f t="shared" si="111"/>
        <v>15</v>
      </c>
      <c r="G57" s="17">
        <f t="shared" si="122"/>
        <v>0.319148936170213</v>
      </c>
      <c r="H57" s="16">
        <v>12</v>
      </c>
      <c r="I57" s="17">
        <f t="shared" ref="I57:M57" si="123">H57/47</f>
        <v>0.25531914893617</v>
      </c>
      <c r="J57" s="14">
        <f t="shared" si="113"/>
        <v>27</v>
      </c>
      <c r="K57" s="17">
        <f t="shared" si="123"/>
        <v>0.574468085106383</v>
      </c>
      <c r="L57" s="16">
        <v>15</v>
      </c>
      <c r="M57" s="17">
        <f t="shared" si="123"/>
        <v>0.319148936170213</v>
      </c>
      <c r="N57" s="14">
        <f t="shared" si="114"/>
        <v>42</v>
      </c>
      <c r="O57" s="17">
        <f t="shared" ref="O57:S57" si="124">N57/47</f>
        <v>0.893617021276596</v>
      </c>
      <c r="P57" s="16">
        <v>3</v>
      </c>
      <c r="Q57" s="17">
        <f t="shared" si="124"/>
        <v>0.0638297872340425</v>
      </c>
      <c r="R57" s="16">
        <v>1</v>
      </c>
      <c r="S57" s="17">
        <f t="shared" si="124"/>
        <v>0.0212765957446809</v>
      </c>
    </row>
    <row r="58" ht="14.25" spans="1:19">
      <c r="A58" s="19">
        <v>905</v>
      </c>
      <c r="B58" s="20">
        <v>1</v>
      </c>
      <c r="C58" s="17">
        <f t="shared" ref="C58:G58" si="125">B58/46</f>
        <v>0.0217391304347826</v>
      </c>
      <c r="D58" s="20">
        <v>7</v>
      </c>
      <c r="E58" s="17">
        <f t="shared" si="125"/>
        <v>0.152173913043478</v>
      </c>
      <c r="F58" s="14">
        <f t="shared" si="111"/>
        <v>8</v>
      </c>
      <c r="G58" s="17">
        <f t="shared" si="125"/>
        <v>0.173913043478261</v>
      </c>
      <c r="H58" s="20">
        <v>19</v>
      </c>
      <c r="I58" s="17">
        <f t="shared" ref="I58:M58" si="126">H58/46</f>
        <v>0.41304347826087</v>
      </c>
      <c r="J58" s="14">
        <f t="shared" si="113"/>
        <v>27</v>
      </c>
      <c r="K58" s="17">
        <f t="shared" si="126"/>
        <v>0.58695652173913</v>
      </c>
      <c r="L58" s="20">
        <v>11</v>
      </c>
      <c r="M58" s="17">
        <f t="shared" si="126"/>
        <v>0.239130434782609</v>
      </c>
      <c r="N58" s="14">
        <f t="shared" si="114"/>
        <v>38</v>
      </c>
      <c r="O58" s="17">
        <f t="shared" ref="O58:S58" si="127">N58/46</f>
        <v>0.826086956521739</v>
      </c>
      <c r="P58" s="20">
        <v>6</v>
      </c>
      <c r="Q58" s="17">
        <f t="shared" si="127"/>
        <v>0.130434782608696</v>
      </c>
      <c r="R58" s="20">
        <v>0</v>
      </c>
      <c r="S58" s="17">
        <f t="shared" si="127"/>
        <v>0</v>
      </c>
    </row>
    <row r="59" spans="1:19">
      <c r="A59" s="11" t="s">
        <v>13</v>
      </c>
      <c r="B59" s="21">
        <f t="shared" ref="B59:F59" si="128">B54+B55+B56+B57+B58</f>
        <v>16</v>
      </c>
      <c r="C59" s="22">
        <f t="shared" ref="C59:G59" si="129">B59/238</f>
        <v>0.0672268907563025</v>
      </c>
      <c r="D59" s="21">
        <f t="shared" si="128"/>
        <v>47</v>
      </c>
      <c r="E59" s="22">
        <f t="shared" si="129"/>
        <v>0.197478991596639</v>
      </c>
      <c r="F59" s="21">
        <f t="shared" si="128"/>
        <v>63</v>
      </c>
      <c r="G59" s="22">
        <f t="shared" si="129"/>
        <v>0.264705882352941</v>
      </c>
      <c r="H59" s="21">
        <f t="shared" ref="H59:L59" si="130">H54+H55+H56+H57+H58</f>
        <v>76</v>
      </c>
      <c r="I59" s="22">
        <f t="shared" ref="I59:M59" si="131">H59/238</f>
        <v>0.319327731092437</v>
      </c>
      <c r="J59" s="21">
        <f t="shared" si="130"/>
        <v>139</v>
      </c>
      <c r="K59" s="22">
        <f t="shared" si="131"/>
        <v>0.584033613445378</v>
      </c>
      <c r="L59" s="21">
        <f t="shared" si="130"/>
        <v>59</v>
      </c>
      <c r="M59" s="22">
        <f t="shared" si="131"/>
        <v>0.247899159663866</v>
      </c>
      <c r="N59" s="21">
        <f t="shared" ref="N59:R59" si="132">N54+N55+N56+N57+N58</f>
        <v>198</v>
      </c>
      <c r="O59" s="22">
        <f t="shared" ref="O59:S59" si="133">N59/238</f>
        <v>0.831932773109244</v>
      </c>
      <c r="P59" s="21">
        <f t="shared" si="132"/>
        <v>26</v>
      </c>
      <c r="Q59" s="22">
        <f t="shared" si="133"/>
        <v>0.109243697478992</v>
      </c>
      <c r="R59" s="21">
        <f t="shared" si="132"/>
        <v>3</v>
      </c>
      <c r="S59" s="22">
        <f t="shared" si="133"/>
        <v>0.0126050420168067</v>
      </c>
    </row>
    <row r="60" ht="15" customHeight="1" spans="1:19">
      <c r="A60" s="12" t="s">
        <v>24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ht="15" customHeight="1" spans="1:19">
      <c r="A61" s="15" t="s">
        <v>25</v>
      </c>
      <c r="B61" s="14" t="s">
        <v>2</v>
      </c>
      <c r="C61" s="14"/>
      <c r="D61" s="14" t="s">
        <v>3</v>
      </c>
      <c r="E61" s="14"/>
      <c r="F61" s="14" t="s">
        <v>4</v>
      </c>
      <c r="G61" s="14"/>
      <c r="H61" s="14" t="s">
        <v>5</v>
      </c>
      <c r="I61" s="14"/>
      <c r="J61" s="14" t="s">
        <v>6</v>
      </c>
      <c r="K61" s="14"/>
      <c r="L61" s="14" t="s">
        <v>7</v>
      </c>
      <c r="M61" s="14"/>
      <c r="N61" s="14" t="s">
        <v>8</v>
      </c>
      <c r="O61" s="14"/>
      <c r="P61" s="14" t="s">
        <v>9</v>
      </c>
      <c r="Q61" s="14"/>
      <c r="R61" s="14" t="s">
        <v>10</v>
      </c>
      <c r="S61" s="14"/>
    </row>
    <row r="62" ht="14.25" spans="1:19">
      <c r="A62" s="15"/>
      <c r="B62" s="14" t="s">
        <v>11</v>
      </c>
      <c r="C62" s="14" t="s">
        <v>12</v>
      </c>
      <c r="D62" s="14" t="s">
        <v>11</v>
      </c>
      <c r="E62" s="14" t="s">
        <v>12</v>
      </c>
      <c r="F62" s="14" t="s">
        <v>11</v>
      </c>
      <c r="G62" s="14" t="s">
        <v>12</v>
      </c>
      <c r="H62" s="14" t="s">
        <v>11</v>
      </c>
      <c r="I62" s="14" t="s">
        <v>12</v>
      </c>
      <c r="J62" s="14" t="s">
        <v>11</v>
      </c>
      <c r="K62" s="14" t="s">
        <v>12</v>
      </c>
      <c r="L62" s="14" t="s">
        <v>11</v>
      </c>
      <c r="M62" s="14" t="s">
        <v>12</v>
      </c>
      <c r="N62" s="14" t="s">
        <v>11</v>
      </c>
      <c r="O62" s="14" t="s">
        <v>12</v>
      </c>
      <c r="P62" s="14" t="s">
        <v>11</v>
      </c>
      <c r="Q62" s="14" t="s">
        <v>12</v>
      </c>
      <c r="R62" s="14" t="s">
        <v>11</v>
      </c>
      <c r="S62" s="14" t="s">
        <v>12</v>
      </c>
    </row>
    <row r="63" ht="14.25" spans="1:19">
      <c r="A63" s="15">
        <v>901</v>
      </c>
      <c r="B63" s="16">
        <v>6</v>
      </c>
      <c r="C63" s="17">
        <f t="shared" ref="C63:G63" si="134">B63/49</f>
        <v>0.122448979591837</v>
      </c>
      <c r="D63" s="16">
        <v>11</v>
      </c>
      <c r="E63" s="17">
        <f t="shared" si="134"/>
        <v>0.224489795918367</v>
      </c>
      <c r="F63" s="14">
        <f t="shared" ref="F63:F67" si="135">D63+B63</f>
        <v>17</v>
      </c>
      <c r="G63" s="17">
        <f t="shared" si="134"/>
        <v>0.346938775510204</v>
      </c>
      <c r="H63" s="16">
        <v>11</v>
      </c>
      <c r="I63" s="17">
        <f t="shared" ref="I63:M63" si="136">H63/49</f>
        <v>0.224489795918367</v>
      </c>
      <c r="J63" s="14">
        <f t="shared" ref="J63:J67" si="137">H63+F63</f>
        <v>28</v>
      </c>
      <c r="K63" s="17">
        <f t="shared" si="136"/>
        <v>0.571428571428571</v>
      </c>
      <c r="L63" s="16">
        <v>13</v>
      </c>
      <c r="M63" s="17">
        <f t="shared" si="136"/>
        <v>0.26530612244898</v>
      </c>
      <c r="N63" s="14">
        <f t="shared" ref="N63:N67" si="138">L63+J63</f>
        <v>41</v>
      </c>
      <c r="O63" s="17">
        <f t="shared" ref="O63:S63" si="139">N63/49</f>
        <v>0.836734693877551</v>
      </c>
      <c r="P63" s="16">
        <v>3</v>
      </c>
      <c r="Q63" s="17">
        <f t="shared" si="139"/>
        <v>0.0612244897959184</v>
      </c>
      <c r="R63" s="16">
        <v>1</v>
      </c>
      <c r="S63" s="17">
        <f t="shared" si="139"/>
        <v>0.0204081632653061</v>
      </c>
    </row>
    <row r="64" ht="14.25" spans="1:19">
      <c r="A64" s="15">
        <v>902</v>
      </c>
      <c r="B64" s="18">
        <v>2</v>
      </c>
      <c r="C64" s="17">
        <f t="shared" ref="C64:G64" si="140">B64/48</f>
        <v>0.0416666666666667</v>
      </c>
      <c r="D64" s="18">
        <v>14</v>
      </c>
      <c r="E64" s="17">
        <f t="shared" si="140"/>
        <v>0.291666666666667</v>
      </c>
      <c r="F64" s="14">
        <f t="shared" si="135"/>
        <v>16</v>
      </c>
      <c r="G64" s="17">
        <f t="shared" si="140"/>
        <v>0.333333333333333</v>
      </c>
      <c r="H64" s="18">
        <v>12</v>
      </c>
      <c r="I64" s="17">
        <f t="shared" ref="I64:M64" si="141">H64/48</f>
        <v>0.25</v>
      </c>
      <c r="J64" s="14">
        <f t="shared" si="137"/>
        <v>28</v>
      </c>
      <c r="K64" s="17">
        <f t="shared" si="141"/>
        <v>0.583333333333333</v>
      </c>
      <c r="L64" s="18">
        <v>11</v>
      </c>
      <c r="M64" s="17">
        <f t="shared" si="141"/>
        <v>0.229166666666667</v>
      </c>
      <c r="N64" s="14">
        <f t="shared" si="138"/>
        <v>39</v>
      </c>
      <c r="O64" s="17">
        <f t="shared" ref="O64:S64" si="142">N64/48</f>
        <v>0.8125</v>
      </c>
      <c r="P64" s="18">
        <v>5</v>
      </c>
      <c r="Q64" s="17">
        <f t="shared" si="142"/>
        <v>0.104166666666667</v>
      </c>
      <c r="R64" s="18">
        <v>1</v>
      </c>
      <c r="S64" s="17">
        <f t="shared" si="142"/>
        <v>0.0208333333333333</v>
      </c>
    </row>
    <row r="65" ht="14.25" spans="1:19">
      <c r="A65" s="15">
        <v>903</v>
      </c>
      <c r="B65" s="18">
        <v>1</v>
      </c>
      <c r="C65" s="17">
        <f t="shared" ref="C65:G65" si="143">B65/48</f>
        <v>0.0208333333333333</v>
      </c>
      <c r="D65" s="18">
        <v>19</v>
      </c>
      <c r="E65" s="17">
        <f t="shared" si="143"/>
        <v>0.395833333333333</v>
      </c>
      <c r="F65" s="14">
        <f t="shared" si="135"/>
        <v>20</v>
      </c>
      <c r="G65" s="17">
        <f t="shared" si="143"/>
        <v>0.416666666666667</v>
      </c>
      <c r="H65" s="18">
        <v>12</v>
      </c>
      <c r="I65" s="17">
        <f t="shared" ref="I65:M65" si="144">H65/48</f>
        <v>0.25</v>
      </c>
      <c r="J65" s="14">
        <f t="shared" si="137"/>
        <v>32</v>
      </c>
      <c r="K65" s="17">
        <f t="shared" si="144"/>
        <v>0.666666666666667</v>
      </c>
      <c r="L65" s="18">
        <v>11</v>
      </c>
      <c r="M65" s="17">
        <f t="shared" si="144"/>
        <v>0.229166666666667</v>
      </c>
      <c r="N65" s="14">
        <f t="shared" si="138"/>
        <v>43</v>
      </c>
      <c r="O65" s="17">
        <f t="shared" ref="O65:S65" si="145">N65/48</f>
        <v>0.895833333333333</v>
      </c>
      <c r="P65" s="18">
        <v>9</v>
      </c>
      <c r="Q65" s="17">
        <f t="shared" si="145"/>
        <v>0.1875</v>
      </c>
      <c r="R65" s="18">
        <v>0</v>
      </c>
      <c r="S65" s="17">
        <f t="shared" si="145"/>
        <v>0</v>
      </c>
    </row>
    <row r="66" ht="14.25" spans="1:19">
      <c r="A66" s="15">
        <v>904</v>
      </c>
      <c r="B66" s="16">
        <v>4</v>
      </c>
      <c r="C66" s="17">
        <f t="shared" ref="C66:G66" si="146">B66/47</f>
        <v>0.0851063829787234</v>
      </c>
      <c r="D66" s="16">
        <v>14</v>
      </c>
      <c r="E66" s="17">
        <f t="shared" si="146"/>
        <v>0.297872340425532</v>
      </c>
      <c r="F66" s="14">
        <f t="shared" si="135"/>
        <v>18</v>
      </c>
      <c r="G66" s="17">
        <f t="shared" si="146"/>
        <v>0.382978723404255</v>
      </c>
      <c r="H66" s="16">
        <v>15</v>
      </c>
      <c r="I66" s="17">
        <f t="shared" ref="I66:M66" si="147">H66/47</f>
        <v>0.319148936170213</v>
      </c>
      <c r="J66" s="14">
        <f t="shared" si="137"/>
        <v>33</v>
      </c>
      <c r="K66" s="17">
        <f t="shared" si="147"/>
        <v>0.702127659574468</v>
      </c>
      <c r="L66" s="16">
        <v>9</v>
      </c>
      <c r="M66" s="17">
        <f t="shared" si="147"/>
        <v>0.191489361702128</v>
      </c>
      <c r="N66" s="14">
        <f t="shared" si="138"/>
        <v>42</v>
      </c>
      <c r="O66" s="17">
        <f t="shared" ref="O66:S66" si="148">N66/47</f>
        <v>0.893617021276596</v>
      </c>
      <c r="P66" s="16">
        <v>4</v>
      </c>
      <c r="Q66" s="17">
        <f t="shared" si="148"/>
        <v>0.0851063829787234</v>
      </c>
      <c r="R66" s="16">
        <v>0</v>
      </c>
      <c r="S66" s="17">
        <f t="shared" si="148"/>
        <v>0</v>
      </c>
    </row>
    <row r="67" ht="14.25" spans="1:19">
      <c r="A67" s="19">
        <v>905</v>
      </c>
      <c r="B67" s="20">
        <v>3</v>
      </c>
      <c r="C67" s="17">
        <f t="shared" ref="C67:G67" si="149">B67/46</f>
        <v>0.0652173913043478</v>
      </c>
      <c r="D67" s="20">
        <v>9</v>
      </c>
      <c r="E67" s="17">
        <f t="shared" si="149"/>
        <v>0.195652173913043</v>
      </c>
      <c r="F67" s="14">
        <f t="shared" si="135"/>
        <v>12</v>
      </c>
      <c r="G67" s="17">
        <f t="shared" si="149"/>
        <v>0.260869565217391</v>
      </c>
      <c r="H67" s="20">
        <v>16</v>
      </c>
      <c r="I67" s="17">
        <f t="shared" ref="I67:M67" si="150">H67/46</f>
        <v>0.347826086956522</v>
      </c>
      <c r="J67" s="14">
        <f t="shared" si="137"/>
        <v>28</v>
      </c>
      <c r="K67" s="17">
        <f t="shared" si="150"/>
        <v>0.608695652173913</v>
      </c>
      <c r="L67" s="20">
        <v>12</v>
      </c>
      <c r="M67" s="17">
        <f t="shared" si="150"/>
        <v>0.260869565217391</v>
      </c>
      <c r="N67" s="14">
        <f t="shared" si="138"/>
        <v>40</v>
      </c>
      <c r="O67" s="17">
        <f t="shared" ref="O67:S67" si="151">N67/46</f>
        <v>0.869565217391304</v>
      </c>
      <c r="P67" s="20">
        <v>3</v>
      </c>
      <c r="Q67" s="17">
        <f t="shared" si="151"/>
        <v>0.0652173913043478</v>
      </c>
      <c r="R67" s="20">
        <v>1</v>
      </c>
      <c r="S67" s="17">
        <f t="shared" si="151"/>
        <v>0.0217391304347826</v>
      </c>
    </row>
    <row r="68" spans="1:19">
      <c r="A68" s="11" t="s">
        <v>13</v>
      </c>
      <c r="B68" s="21">
        <f t="shared" ref="B68:F68" si="152">B63+B64+B65+B66+B67</f>
        <v>16</v>
      </c>
      <c r="C68" s="22">
        <f t="shared" ref="C68:G68" si="153">B68/238</f>
        <v>0.0672268907563025</v>
      </c>
      <c r="D68" s="21">
        <f t="shared" si="152"/>
        <v>67</v>
      </c>
      <c r="E68" s="22">
        <f t="shared" si="153"/>
        <v>0.281512605042017</v>
      </c>
      <c r="F68" s="21">
        <f t="shared" si="152"/>
        <v>83</v>
      </c>
      <c r="G68" s="22">
        <f t="shared" si="153"/>
        <v>0.348739495798319</v>
      </c>
      <c r="H68" s="21">
        <f t="shared" ref="H68:L68" si="154">H63+H64+H65+H66+H67</f>
        <v>66</v>
      </c>
      <c r="I68" s="22">
        <f t="shared" ref="I68:M68" si="155">H68/238</f>
        <v>0.277310924369748</v>
      </c>
      <c r="J68" s="21">
        <f t="shared" si="154"/>
        <v>149</v>
      </c>
      <c r="K68" s="22">
        <f t="shared" si="155"/>
        <v>0.626050420168067</v>
      </c>
      <c r="L68" s="21">
        <f t="shared" si="154"/>
        <v>56</v>
      </c>
      <c r="M68" s="22">
        <f t="shared" si="155"/>
        <v>0.235294117647059</v>
      </c>
      <c r="N68" s="21">
        <f t="shared" ref="N68:R68" si="156">N63+N64+N65+N66+N67</f>
        <v>205</v>
      </c>
      <c r="O68" s="22">
        <f t="shared" ref="O68:S68" si="157">N68/238</f>
        <v>0.861344537815126</v>
      </c>
      <c r="P68" s="21">
        <f t="shared" si="156"/>
        <v>24</v>
      </c>
      <c r="Q68" s="22">
        <f t="shared" si="157"/>
        <v>0.100840336134454</v>
      </c>
      <c r="R68" s="21">
        <f t="shared" si="156"/>
        <v>3</v>
      </c>
      <c r="S68" s="22">
        <f t="shared" si="157"/>
        <v>0.0126050420168067</v>
      </c>
    </row>
    <row r="69" spans="1:1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 ht="15" customHeight="1" spans="1:19">
      <c r="A70" s="12" t="s">
        <v>26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</row>
    <row r="71" ht="15" customHeight="1" spans="1:19">
      <c r="A71" s="15" t="s">
        <v>27</v>
      </c>
      <c r="B71" s="14" t="s">
        <v>2</v>
      </c>
      <c r="C71" s="14"/>
      <c r="D71" s="14" t="s">
        <v>3</v>
      </c>
      <c r="E71" s="14"/>
      <c r="F71" s="14" t="s">
        <v>4</v>
      </c>
      <c r="G71" s="14"/>
      <c r="H71" s="14" t="s">
        <v>5</v>
      </c>
      <c r="I71" s="14"/>
      <c r="J71" s="14" t="s">
        <v>6</v>
      </c>
      <c r="K71" s="14"/>
      <c r="L71" s="14" t="s">
        <v>7</v>
      </c>
      <c r="M71" s="14"/>
      <c r="N71" s="14" t="s">
        <v>8</v>
      </c>
      <c r="O71" s="14"/>
      <c r="P71" s="14" t="s">
        <v>9</v>
      </c>
      <c r="Q71" s="14"/>
      <c r="R71" s="14" t="s">
        <v>10</v>
      </c>
      <c r="S71" s="14"/>
    </row>
    <row r="72" ht="14.25" spans="1:19">
      <c r="A72" s="15"/>
      <c r="B72" s="14" t="s">
        <v>11</v>
      </c>
      <c r="C72" s="14" t="s">
        <v>12</v>
      </c>
      <c r="D72" s="14" t="s">
        <v>11</v>
      </c>
      <c r="E72" s="14" t="s">
        <v>12</v>
      </c>
      <c r="F72" s="14" t="s">
        <v>11</v>
      </c>
      <c r="G72" s="14" t="s">
        <v>12</v>
      </c>
      <c r="H72" s="14" t="s">
        <v>11</v>
      </c>
      <c r="I72" s="14" t="s">
        <v>12</v>
      </c>
      <c r="J72" s="14" t="s">
        <v>11</v>
      </c>
      <c r="K72" s="14" t="s">
        <v>12</v>
      </c>
      <c r="L72" s="14" t="s">
        <v>11</v>
      </c>
      <c r="M72" s="14" t="s">
        <v>12</v>
      </c>
      <c r="N72" s="14" t="s">
        <v>11</v>
      </c>
      <c r="O72" s="14" t="s">
        <v>12</v>
      </c>
      <c r="P72" s="14" t="s">
        <v>11</v>
      </c>
      <c r="Q72" s="14" t="s">
        <v>12</v>
      </c>
      <c r="R72" s="14" t="s">
        <v>11</v>
      </c>
      <c r="S72" s="14" t="s">
        <v>12</v>
      </c>
    </row>
    <row r="73" ht="14.25" spans="1:19">
      <c r="A73" s="15">
        <v>901</v>
      </c>
      <c r="B73" s="16">
        <v>4</v>
      </c>
      <c r="C73" s="17">
        <f t="shared" ref="C73:G73" si="158">B73/49</f>
        <v>0.0816326530612245</v>
      </c>
      <c r="D73" s="16">
        <v>12</v>
      </c>
      <c r="E73" s="17">
        <f t="shared" si="158"/>
        <v>0.244897959183673</v>
      </c>
      <c r="F73" s="14">
        <f t="shared" ref="F73:F77" si="159">D73+B73</f>
        <v>16</v>
      </c>
      <c r="G73" s="17">
        <f t="shared" si="158"/>
        <v>0.326530612244898</v>
      </c>
      <c r="H73" s="16">
        <v>15</v>
      </c>
      <c r="I73" s="17">
        <f t="shared" ref="I73:M73" si="160">H73/49</f>
        <v>0.306122448979592</v>
      </c>
      <c r="J73" s="14">
        <f t="shared" ref="J73:J77" si="161">H73+F73</f>
        <v>31</v>
      </c>
      <c r="K73" s="17">
        <f t="shared" si="160"/>
        <v>0.63265306122449</v>
      </c>
      <c r="L73" s="16">
        <v>10</v>
      </c>
      <c r="M73" s="17">
        <f t="shared" si="160"/>
        <v>0.204081632653061</v>
      </c>
      <c r="N73" s="14">
        <f t="shared" ref="N73:N77" si="162">L73+J73</f>
        <v>41</v>
      </c>
      <c r="O73" s="17">
        <f t="shared" ref="O73:S73" si="163">N73/49</f>
        <v>0.836734693877551</v>
      </c>
      <c r="P73" s="16">
        <v>3</v>
      </c>
      <c r="Q73" s="17">
        <f t="shared" si="163"/>
        <v>0.0612244897959184</v>
      </c>
      <c r="R73" s="16">
        <v>1</v>
      </c>
      <c r="S73" s="17">
        <f t="shared" si="163"/>
        <v>0.0204081632653061</v>
      </c>
    </row>
    <row r="74" ht="14.25" spans="1:19">
      <c r="A74" s="15">
        <v>902</v>
      </c>
      <c r="B74" s="18">
        <v>5</v>
      </c>
      <c r="C74" s="17">
        <f t="shared" ref="C74:G74" si="164">B74/48</f>
        <v>0.104166666666667</v>
      </c>
      <c r="D74" s="18">
        <v>8</v>
      </c>
      <c r="E74" s="17">
        <f t="shared" si="164"/>
        <v>0.166666666666667</v>
      </c>
      <c r="F74" s="14">
        <f t="shared" si="159"/>
        <v>13</v>
      </c>
      <c r="G74" s="17">
        <f t="shared" si="164"/>
        <v>0.270833333333333</v>
      </c>
      <c r="H74" s="18">
        <v>15</v>
      </c>
      <c r="I74" s="17">
        <f t="shared" ref="I74:M74" si="165">H74/48</f>
        <v>0.3125</v>
      </c>
      <c r="J74" s="14">
        <f t="shared" si="161"/>
        <v>28</v>
      </c>
      <c r="K74" s="17">
        <f t="shared" si="165"/>
        <v>0.583333333333333</v>
      </c>
      <c r="L74" s="18">
        <v>13</v>
      </c>
      <c r="M74" s="17">
        <f t="shared" si="165"/>
        <v>0.270833333333333</v>
      </c>
      <c r="N74" s="14">
        <f t="shared" si="162"/>
        <v>41</v>
      </c>
      <c r="O74" s="17">
        <f t="shared" ref="O74:S74" si="166">N74/48</f>
        <v>0.854166666666667</v>
      </c>
      <c r="P74" s="18">
        <v>3</v>
      </c>
      <c r="Q74" s="17">
        <f t="shared" si="166"/>
        <v>0.0625</v>
      </c>
      <c r="R74" s="18">
        <v>1</v>
      </c>
      <c r="S74" s="17">
        <f t="shared" si="166"/>
        <v>0.0208333333333333</v>
      </c>
    </row>
    <row r="75" ht="14.25" spans="1:19">
      <c r="A75" s="15">
        <v>903</v>
      </c>
      <c r="B75" s="18">
        <v>9</v>
      </c>
      <c r="C75" s="17">
        <f t="shared" ref="C75:G75" si="167">B75/48</f>
        <v>0.1875</v>
      </c>
      <c r="D75" s="18">
        <v>16</v>
      </c>
      <c r="E75" s="17">
        <f t="shared" si="167"/>
        <v>0.333333333333333</v>
      </c>
      <c r="F75" s="14">
        <f t="shared" si="159"/>
        <v>25</v>
      </c>
      <c r="G75" s="17">
        <f t="shared" si="167"/>
        <v>0.520833333333333</v>
      </c>
      <c r="H75" s="18">
        <v>12</v>
      </c>
      <c r="I75" s="17">
        <f t="shared" ref="I75:M75" si="168">H75/48</f>
        <v>0.25</v>
      </c>
      <c r="J75" s="14">
        <f t="shared" si="161"/>
        <v>37</v>
      </c>
      <c r="K75" s="17">
        <f t="shared" si="168"/>
        <v>0.770833333333333</v>
      </c>
      <c r="L75" s="18">
        <v>6</v>
      </c>
      <c r="M75" s="17">
        <f t="shared" si="168"/>
        <v>0.125</v>
      </c>
      <c r="N75" s="14">
        <f t="shared" si="162"/>
        <v>43</v>
      </c>
      <c r="O75" s="17">
        <f t="shared" ref="O75:S75" si="169">N75/48</f>
        <v>0.895833333333333</v>
      </c>
      <c r="P75" s="18">
        <v>4</v>
      </c>
      <c r="Q75" s="17">
        <f t="shared" si="169"/>
        <v>0.0833333333333333</v>
      </c>
      <c r="R75" s="18">
        <v>0</v>
      </c>
      <c r="S75" s="17">
        <f t="shared" si="169"/>
        <v>0</v>
      </c>
    </row>
    <row r="76" ht="14.25" spans="1:19">
      <c r="A76" s="15">
        <v>904</v>
      </c>
      <c r="B76" s="16">
        <v>5</v>
      </c>
      <c r="C76" s="17">
        <f t="shared" ref="C76:G76" si="170">B76/47</f>
        <v>0.106382978723404</v>
      </c>
      <c r="D76" s="16">
        <v>11</v>
      </c>
      <c r="E76" s="17">
        <f t="shared" si="170"/>
        <v>0.234042553191489</v>
      </c>
      <c r="F76" s="14">
        <f t="shared" si="159"/>
        <v>16</v>
      </c>
      <c r="G76" s="17">
        <f t="shared" si="170"/>
        <v>0.340425531914894</v>
      </c>
      <c r="H76" s="16">
        <v>18</v>
      </c>
      <c r="I76" s="17">
        <f t="shared" ref="I76:M76" si="171">H76/47</f>
        <v>0.382978723404255</v>
      </c>
      <c r="J76" s="14">
        <f t="shared" si="161"/>
        <v>34</v>
      </c>
      <c r="K76" s="17">
        <f t="shared" si="171"/>
        <v>0.723404255319149</v>
      </c>
      <c r="L76" s="16">
        <v>9</v>
      </c>
      <c r="M76" s="17">
        <f t="shared" si="171"/>
        <v>0.191489361702128</v>
      </c>
      <c r="N76" s="14">
        <f t="shared" si="162"/>
        <v>43</v>
      </c>
      <c r="O76" s="17">
        <f t="shared" ref="O76:S76" si="172">N76/47</f>
        <v>0.914893617021277</v>
      </c>
      <c r="P76" s="16">
        <v>3</v>
      </c>
      <c r="Q76" s="17">
        <f t="shared" si="172"/>
        <v>0.0638297872340425</v>
      </c>
      <c r="R76" s="16">
        <v>0</v>
      </c>
      <c r="S76" s="17">
        <f t="shared" si="172"/>
        <v>0</v>
      </c>
    </row>
    <row r="77" ht="14.25" spans="1:19">
      <c r="A77" s="19">
        <v>905</v>
      </c>
      <c r="B77" s="20">
        <v>4</v>
      </c>
      <c r="C77" s="17">
        <f t="shared" ref="C77:G77" si="173">B77/46</f>
        <v>0.0869565217391304</v>
      </c>
      <c r="D77" s="20">
        <v>8</v>
      </c>
      <c r="E77" s="17">
        <f t="shared" si="173"/>
        <v>0.173913043478261</v>
      </c>
      <c r="F77" s="14">
        <f t="shared" si="159"/>
        <v>12</v>
      </c>
      <c r="G77" s="17">
        <f t="shared" si="173"/>
        <v>0.260869565217391</v>
      </c>
      <c r="H77" s="20">
        <v>19</v>
      </c>
      <c r="I77" s="17">
        <f t="shared" ref="I77:M77" si="174">H77/46</f>
        <v>0.41304347826087</v>
      </c>
      <c r="J77" s="14">
        <f t="shared" si="161"/>
        <v>31</v>
      </c>
      <c r="K77" s="17">
        <f t="shared" si="174"/>
        <v>0.673913043478261</v>
      </c>
      <c r="L77" s="20">
        <v>9</v>
      </c>
      <c r="M77" s="17">
        <f t="shared" si="174"/>
        <v>0.195652173913043</v>
      </c>
      <c r="N77" s="14">
        <f t="shared" si="162"/>
        <v>40</v>
      </c>
      <c r="O77" s="17">
        <f t="shared" ref="O77:S77" si="175">N77/46</f>
        <v>0.869565217391304</v>
      </c>
      <c r="P77" s="20">
        <v>4</v>
      </c>
      <c r="Q77" s="17">
        <f t="shared" si="175"/>
        <v>0.0869565217391304</v>
      </c>
      <c r="R77" s="20">
        <v>0</v>
      </c>
      <c r="S77" s="17">
        <f t="shared" si="175"/>
        <v>0</v>
      </c>
    </row>
    <row r="78" spans="1:19">
      <c r="A78" s="11" t="s">
        <v>13</v>
      </c>
      <c r="B78" s="21">
        <f t="shared" ref="B78:F78" si="176">B73+B74+B75+B76+B77</f>
        <v>27</v>
      </c>
      <c r="C78" s="22">
        <f t="shared" ref="C78:G78" si="177">B78/238</f>
        <v>0.113445378151261</v>
      </c>
      <c r="D78" s="21">
        <f t="shared" si="176"/>
        <v>55</v>
      </c>
      <c r="E78" s="22">
        <f t="shared" si="177"/>
        <v>0.23109243697479</v>
      </c>
      <c r="F78" s="21">
        <f t="shared" si="176"/>
        <v>82</v>
      </c>
      <c r="G78" s="22">
        <f t="shared" si="177"/>
        <v>0.34453781512605</v>
      </c>
      <c r="H78" s="21">
        <f t="shared" ref="H78:L78" si="178">H73+H74+H75+H76+H77</f>
        <v>79</v>
      </c>
      <c r="I78" s="22">
        <f t="shared" ref="I78:M78" si="179">H78/238</f>
        <v>0.331932773109244</v>
      </c>
      <c r="J78" s="21">
        <f t="shared" si="178"/>
        <v>161</v>
      </c>
      <c r="K78" s="22">
        <f t="shared" si="179"/>
        <v>0.676470588235294</v>
      </c>
      <c r="L78" s="21">
        <f t="shared" si="178"/>
        <v>47</v>
      </c>
      <c r="M78" s="22">
        <f t="shared" si="179"/>
        <v>0.197478991596639</v>
      </c>
      <c r="N78" s="21">
        <f t="shared" ref="N78:R78" si="180">N73+N74+N75+N76+N77</f>
        <v>208</v>
      </c>
      <c r="O78" s="22">
        <f t="shared" ref="O78:S78" si="181">N78/238</f>
        <v>0.873949579831933</v>
      </c>
      <c r="P78" s="21">
        <f t="shared" si="180"/>
        <v>17</v>
      </c>
      <c r="Q78" s="22">
        <f t="shared" si="181"/>
        <v>0.0714285714285714</v>
      </c>
      <c r="R78" s="21">
        <f t="shared" si="180"/>
        <v>2</v>
      </c>
      <c r="S78" s="22">
        <f t="shared" si="181"/>
        <v>0.00840336134453781</v>
      </c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A12:S19" name="Range1"/>
  </protectedRanges>
  <mergeCells count="88">
    <mergeCell ref="A1:S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A11:S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A21:S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A31:S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A41:S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A51:S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A60:S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A70:S70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A2:A3"/>
    <mergeCell ref="A12:A13"/>
    <mergeCell ref="A22:A23"/>
    <mergeCell ref="A32:A33"/>
    <mergeCell ref="A42:A43"/>
    <mergeCell ref="A52:A53"/>
    <mergeCell ref="A61:A62"/>
    <mergeCell ref="A71:A7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"/>
  <sheetViews>
    <sheetView tabSelected="1" workbookViewId="0">
      <selection activeCell="I83" sqref="I83"/>
    </sheetView>
  </sheetViews>
  <sheetFormatPr defaultColWidth="8.725" defaultRowHeight="13.5" outlineLevelRow="7"/>
  <sheetData>
    <row r="1" ht="15" customHeight="1" spans="1:22">
      <c r="A1" s="9"/>
      <c r="B1" s="9" t="s">
        <v>15</v>
      </c>
      <c r="C1" s="9"/>
      <c r="D1" s="9"/>
      <c r="E1" s="9" t="s">
        <v>17</v>
      </c>
      <c r="F1" s="9"/>
      <c r="G1" s="9"/>
      <c r="H1" s="9" t="s">
        <v>19</v>
      </c>
      <c r="I1" s="9"/>
      <c r="J1" s="9"/>
      <c r="K1" s="9" t="s">
        <v>21</v>
      </c>
      <c r="L1" s="9"/>
      <c r="M1" s="9"/>
      <c r="N1" s="9" t="s">
        <v>25</v>
      </c>
      <c r="O1" s="9"/>
      <c r="P1" s="9"/>
      <c r="Q1" s="9"/>
      <c r="R1" s="9" t="s">
        <v>23</v>
      </c>
      <c r="S1" s="9"/>
      <c r="T1" s="9"/>
      <c r="U1" s="9" t="s">
        <v>27</v>
      </c>
      <c r="V1" s="9"/>
    </row>
    <row r="2" ht="14.25" spans="1:22">
      <c r="A2" s="9"/>
      <c r="B2" s="9" t="s">
        <v>28</v>
      </c>
      <c r="C2" s="9" t="s">
        <v>29</v>
      </c>
      <c r="D2" s="9" t="s">
        <v>30</v>
      </c>
      <c r="E2" s="9" t="s">
        <v>28</v>
      </c>
      <c r="F2" s="9" t="s">
        <v>29</v>
      </c>
      <c r="G2" s="9" t="s">
        <v>30</v>
      </c>
      <c r="H2" s="9" t="s">
        <v>28</v>
      </c>
      <c r="I2" s="9" t="s">
        <v>29</v>
      </c>
      <c r="J2" s="9" t="s">
        <v>30</v>
      </c>
      <c r="K2" s="9" t="s">
        <v>28</v>
      </c>
      <c r="L2" s="9" t="s">
        <v>29</v>
      </c>
      <c r="M2" s="9" t="s">
        <v>30</v>
      </c>
      <c r="N2" s="9" t="s">
        <v>28</v>
      </c>
      <c r="O2" s="9" t="s">
        <v>29</v>
      </c>
      <c r="P2" s="9" t="s">
        <v>30</v>
      </c>
      <c r="Q2" s="9" t="s">
        <v>28</v>
      </c>
      <c r="R2" s="9" t="s">
        <v>29</v>
      </c>
      <c r="S2" s="9" t="s">
        <v>30</v>
      </c>
      <c r="T2" s="9" t="s">
        <v>28</v>
      </c>
      <c r="U2" s="9" t="s">
        <v>29</v>
      </c>
      <c r="V2" s="9" t="s">
        <v>30</v>
      </c>
    </row>
    <row r="3" ht="14.25" spans="1:22">
      <c r="A3" s="9">
        <v>901</v>
      </c>
      <c r="B3" s="9" t="s">
        <v>31</v>
      </c>
      <c r="C3" s="9">
        <v>88.67</v>
      </c>
      <c r="D3" s="9">
        <v>2</v>
      </c>
      <c r="E3" s="9" t="s">
        <v>32</v>
      </c>
      <c r="F3" s="9">
        <v>78.64</v>
      </c>
      <c r="G3" s="9">
        <v>1</v>
      </c>
      <c r="H3" s="9" t="s">
        <v>33</v>
      </c>
      <c r="I3" s="9">
        <v>76</v>
      </c>
      <c r="J3" s="9">
        <v>3</v>
      </c>
      <c r="K3" s="9" t="s">
        <v>34</v>
      </c>
      <c r="L3" s="10">
        <v>49.8555555555555</v>
      </c>
      <c r="M3" s="9">
        <v>1</v>
      </c>
      <c r="N3" s="9" t="s">
        <v>35</v>
      </c>
      <c r="O3" s="9">
        <v>55.03</v>
      </c>
      <c r="P3" s="9">
        <v>3</v>
      </c>
      <c r="Q3" s="9" t="s">
        <v>36</v>
      </c>
      <c r="R3" s="9">
        <v>36.8</v>
      </c>
      <c r="S3" s="9">
        <v>3</v>
      </c>
      <c r="T3" s="9" t="s">
        <v>37</v>
      </c>
      <c r="U3" s="9">
        <v>3</v>
      </c>
      <c r="V3" s="9">
        <v>38.87</v>
      </c>
    </row>
    <row r="4" ht="14.25" spans="1:22">
      <c r="A4" s="9">
        <v>902</v>
      </c>
      <c r="B4" s="9" t="s">
        <v>31</v>
      </c>
      <c r="C4" s="9">
        <v>87.17</v>
      </c>
      <c r="D4" s="9">
        <v>5</v>
      </c>
      <c r="E4" s="9" t="s">
        <v>32</v>
      </c>
      <c r="F4" s="9">
        <v>76.84</v>
      </c>
      <c r="G4" s="9">
        <v>3</v>
      </c>
      <c r="H4" s="9" t="s">
        <v>38</v>
      </c>
      <c r="I4" s="9">
        <v>73.83</v>
      </c>
      <c r="J4" s="9">
        <v>5</v>
      </c>
      <c r="K4" s="9" t="s">
        <v>39</v>
      </c>
      <c r="L4" s="10">
        <v>48.2555555555556</v>
      </c>
      <c r="M4" s="9">
        <v>3</v>
      </c>
      <c r="N4" s="9" t="s">
        <v>40</v>
      </c>
      <c r="O4" s="9">
        <v>53.73</v>
      </c>
      <c r="P4" s="9">
        <v>5</v>
      </c>
      <c r="Q4" s="9" t="s">
        <v>41</v>
      </c>
      <c r="R4" s="9">
        <v>36.64</v>
      </c>
      <c r="S4" s="9">
        <v>4</v>
      </c>
      <c r="T4" s="9" t="s">
        <v>42</v>
      </c>
      <c r="U4" s="9">
        <v>5</v>
      </c>
      <c r="V4" s="9">
        <v>38.46</v>
      </c>
    </row>
    <row r="5" ht="14.25" spans="1:22">
      <c r="A5" s="9">
        <v>903</v>
      </c>
      <c r="B5" s="9" t="s">
        <v>43</v>
      </c>
      <c r="C5" s="9">
        <v>90.39</v>
      </c>
      <c r="D5" s="9">
        <v>1</v>
      </c>
      <c r="E5" s="9" t="s">
        <v>44</v>
      </c>
      <c r="F5" s="9">
        <v>77.68</v>
      </c>
      <c r="G5" s="9">
        <v>2</v>
      </c>
      <c r="H5" s="9" t="s">
        <v>33</v>
      </c>
      <c r="I5" s="9">
        <v>75.96</v>
      </c>
      <c r="J5" s="9">
        <v>4</v>
      </c>
      <c r="K5" s="9" t="s">
        <v>39</v>
      </c>
      <c r="L5" s="10">
        <v>49.6382978723404</v>
      </c>
      <c r="M5" s="9">
        <v>2</v>
      </c>
      <c r="N5" s="9" t="s">
        <v>40</v>
      </c>
      <c r="O5" s="9">
        <v>55.66</v>
      </c>
      <c r="P5" s="9">
        <v>2</v>
      </c>
      <c r="Q5" s="9" t="s">
        <v>41</v>
      </c>
      <c r="R5" s="9">
        <v>38.18</v>
      </c>
      <c r="S5" s="9">
        <v>1</v>
      </c>
      <c r="T5" s="9" t="s">
        <v>42</v>
      </c>
      <c r="U5" s="9">
        <v>1</v>
      </c>
      <c r="V5" s="9">
        <v>40.87</v>
      </c>
    </row>
    <row r="6" ht="14.25" spans="1:22">
      <c r="A6" s="9">
        <v>904</v>
      </c>
      <c r="B6" s="9" t="s">
        <v>45</v>
      </c>
      <c r="C6" s="9">
        <v>87.5</v>
      </c>
      <c r="D6" s="9">
        <v>4</v>
      </c>
      <c r="E6" s="9" t="s">
        <v>46</v>
      </c>
      <c r="F6" s="9">
        <v>75.3</v>
      </c>
      <c r="G6" s="9">
        <v>5</v>
      </c>
      <c r="H6" s="9" t="s">
        <v>47</v>
      </c>
      <c r="I6" s="9">
        <v>78.49</v>
      </c>
      <c r="J6" s="9">
        <v>1</v>
      </c>
      <c r="K6" s="9" t="s">
        <v>34</v>
      </c>
      <c r="L6" s="10">
        <v>47.5869565217391</v>
      </c>
      <c r="M6" s="9">
        <v>4</v>
      </c>
      <c r="N6" s="9" t="s">
        <v>35</v>
      </c>
      <c r="O6" s="9">
        <v>56.35</v>
      </c>
      <c r="P6" s="9">
        <v>1</v>
      </c>
      <c r="Q6" s="9" t="s">
        <v>48</v>
      </c>
      <c r="R6" s="9">
        <v>37.27</v>
      </c>
      <c r="S6" s="9">
        <v>2</v>
      </c>
      <c r="T6" s="11" t="s">
        <v>42</v>
      </c>
      <c r="U6" s="9">
        <v>2</v>
      </c>
      <c r="V6" s="9">
        <v>39.33</v>
      </c>
    </row>
    <row r="7" ht="14.25" spans="1:22">
      <c r="A7" s="9">
        <v>905</v>
      </c>
      <c r="B7" s="9" t="s">
        <v>49</v>
      </c>
      <c r="C7" s="9">
        <v>87.96</v>
      </c>
      <c r="D7" s="9">
        <v>3</v>
      </c>
      <c r="E7" s="9" t="s">
        <v>46</v>
      </c>
      <c r="F7" s="9">
        <v>76.7</v>
      </c>
      <c r="G7" s="9">
        <v>4</v>
      </c>
      <c r="H7" s="9" t="s">
        <v>47</v>
      </c>
      <c r="I7" s="9">
        <v>76.8</v>
      </c>
      <c r="J7" s="9">
        <v>2</v>
      </c>
      <c r="K7" s="9" t="s">
        <v>34</v>
      </c>
      <c r="L7" s="10">
        <v>46.4772727272727</v>
      </c>
      <c r="M7" s="9">
        <v>5</v>
      </c>
      <c r="N7" s="9" t="s">
        <v>35</v>
      </c>
      <c r="O7" s="9">
        <v>54.66</v>
      </c>
      <c r="P7" s="9">
        <v>4</v>
      </c>
      <c r="Q7" s="9" t="s">
        <v>48</v>
      </c>
      <c r="R7" s="9">
        <v>36.48</v>
      </c>
      <c r="S7" s="9">
        <v>5</v>
      </c>
      <c r="T7" s="9" t="s">
        <v>37</v>
      </c>
      <c r="U7" s="9">
        <v>4</v>
      </c>
      <c r="V7" s="9">
        <v>38.81</v>
      </c>
    </row>
    <row r="8" ht="14.25" spans="1:22">
      <c r="A8" s="9" t="s">
        <v>13</v>
      </c>
      <c r="B8" s="9"/>
      <c r="C8" s="9">
        <v>88.35</v>
      </c>
      <c r="D8" s="9"/>
      <c r="E8" s="9"/>
      <c r="F8" s="9">
        <v>77.03</v>
      </c>
      <c r="G8" s="9"/>
      <c r="H8" s="9"/>
      <c r="I8" s="9"/>
      <c r="J8" s="9"/>
      <c r="K8" s="9"/>
      <c r="L8" s="9">
        <v>48.39</v>
      </c>
      <c r="M8" s="9"/>
      <c r="N8" s="9"/>
      <c r="O8" s="9">
        <v>55.09</v>
      </c>
      <c r="P8" s="9"/>
      <c r="Q8" s="9"/>
      <c r="R8" s="9">
        <v>37.09</v>
      </c>
      <c r="S8" s="9"/>
      <c r="T8" s="9"/>
      <c r="U8" s="9"/>
      <c r="V8" s="9">
        <v>39.27</v>
      </c>
    </row>
  </sheetData>
  <sheetProtection formatCells="0" formatColumns="0" formatRows="0" insertRows="0" insertColumns="0" insertHyperlinks="0" deleteColumns="0" deleteRows="0" sort="0" autoFilter="0" pivotTables="0"/>
  <mergeCells count="8">
    <mergeCell ref="B1:D1"/>
    <mergeCell ref="E1:G1"/>
    <mergeCell ref="H1:J1"/>
    <mergeCell ref="K1:M1"/>
    <mergeCell ref="N1:P1"/>
    <mergeCell ref="R1:S1"/>
    <mergeCell ref="U1:V1"/>
    <mergeCell ref="A1:A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showGridLines="0" topLeftCell="A55" workbookViewId="0">
      <selection activeCell="N15" sqref="N15"/>
    </sheetView>
  </sheetViews>
  <sheetFormatPr defaultColWidth="9" defaultRowHeight="13.5"/>
  <sheetData>
    <row r="1" ht="15" customHeight="1" spans="1:11">
      <c r="A1" s="4" t="s">
        <v>50</v>
      </c>
      <c r="B1" s="4" t="s">
        <v>51</v>
      </c>
      <c r="C1" s="4" t="s">
        <v>52</v>
      </c>
      <c r="D1" s="4" t="s">
        <v>53</v>
      </c>
      <c r="E1" s="4" t="s">
        <v>52</v>
      </c>
      <c r="F1" s="4" t="s">
        <v>54</v>
      </c>
      <c r="G1" s="4" t="s">
        <v>52</v>
      </c>
      <c r="H1" s="4" t="s">
        <v>55</v>
      </c>
      <c r="I1" s="4" t="s">
        <v>52</v>
      </c>
      <c r="J1" s="4" t="s">
        <v>56</v>
      </c>
      <c r="K1" s="4" t="s">
        <v>52</v>
      </c>
    </row>
    <row r="2" ht="15" customHeight="1" spans="1:11">
      <c r="A2" s="4">
        <v>1</v>
      </c>
      <c r="B2" s="1" t="s">
        <v>57</v>
      </c>
      <c r="C2" s="1">
        <v>506.5</v>
      </c>
      <c r="D2" s="1" t="s">
        <v>58</v>
      </c>
      <c r="E2" s="1">
        <v>509.5</v>
      </c>
      <c r="F2" s="1" t="s">
        <v>59</v>
      </c>
      <c r="G2" s="1">
        <v>513.2</v>
      </c>
      <c r="H2" s="1" t="s">
        <v>60</v>
      </c>
      <c r="I2" s="1">
        <v>514.5</v>
      </c>
      <c r="J2" s="1" t="s">
        <v>61</v>
      </c>
      <c r="K2" s="1">
        <v>524.1</v>
      </c>
    </row>
    <row r="3" ht="15" customHeight="1" spans="1:11">
      <c r="A3" s="4">
        <v>2</v>
      </c>
      <c r="B3" s="1" t="s">
        <v>62</v>
      </c>
      <c r="C3" s="1">
        <v>506.3</v>
      </c>
      <c r="D3" s="1" t="s">
        <v>63</v>
      </c>
      <c r="E3" s="1">
        <v>505.4</v>
      </c>
      <c r="F3" s="1" t="s">
        <v>64</v>
      </c>
      <c r="G3" s="1">
        <v>509.7</v>
      </c>
      <c r="H3" s="1" t="s">
        <v>65</v>
      </c>
      <c r="I3" s="1">
        <v>512.2</v>
      </c>
      <c r="J3" s="1" t="s">
        <v>66</v>
      </c>
      <c r="K3" s="1">
        <v>505.6</v>
      </c>
    </row>
    <row r="4" ht="15" customHeight="1" spans="1:11">
      <c r="A4" s="4">
        <v>3</v>
      </c>
      <c r="B4" s="1" t="s">
        <v>67</v>
      </c>
      <c r="C4" s="1">
        <v>505</v>
      </c>
      <c r="D4" s="1" t="s">
        <v>68</v>
      </c>
      <c r="E4" s="1">
        <v>499.2</v>
      </c>
      <c r="F4" s="1" t="s">
        <v>69</v>
      </c>
      <c r="G4" s="1">
        <v>508</v>
      </c>
      <c r="H4" s="1" t="s">
        <v>70</v>
      </c>
      <c r="I4" s="1">
        <v>511.5</v>
      </c>
      <c r="J4" s="1" t="s">
        <v>71</v>
      </c>
      <c r="K4" s="1">
        <v>500.6</v>
      </c>
    </row>
    <row r="5" ht="15" customHeight="1" spans="1:11">
      <c r="A5" s="4">
        <v>4</v>
      </c>
      <c r="B5" s="1" t="s">
        <v>72</v>
      </c>
      <c r="C5" s="1">
        <v>500.3</v>
      </c>
      <c r="D5" s="1" t="s">
        <v>73</v>
      </c>
      <c r="E5" s="1">
        <v>495.6</v>
      </c>
      <c r="F5" s="1" t="s">
        <v>74</v>
      </c>
      <c r="G5" s="1">
        <v>499.7</v>
      </c>
      <c r="H5" s="1" t="s">
        <v>75</v>
      </c>
      <c r="I5" s="1">
        <v>506.3</v>
      </c>
      <c r="J5" s="1" t="s">
        <v>76</v>
      </c>
      <c r="K5" s="1">
        <v>492</v>
      </c>
    </row>
    <row r="6" ht="15" customHeight="1" spans="1:11">
      <c r="A6" s="4">
        <v>5</v>
      </c>
      <c r="B6" s="1" t="s">
        <v>77</v>
      </c>
      <c r="C6" s="1">
        <v>496.2</v>
      </c>
      <c r="D6" s="1" t="s">
        <v>78</v>
      </c>
      <c r="E6" s="1">
        <v>488.9</v>
      </c>
      <c r="F6" s="1" t="s">
        <v>79</v>
      </c>
      <c r="G6" s="1">
        <v>494.3</v>
      </c>
      <c r="H6" s="1" t="s">
        <v>80</v>
      </c>
      <c r="I6" s="1">
        <v>495.4</v>
      </c>
      <c r="J6" s="1" t="s">
        <v>81</v>
      </c>
      <c r="K6" s="1">
        <v>485.9</v>
      </c>
    </row>
    <row r="7" ht="15" customHeight="1" spans="1:11">
      <c r="A7" s="5" t="s">
        <v>82</v>
      </c>
      <c r="B7" s="6">
        <v>502.86</v>
      </c>
      <c r="C7" s="1"/>
      <c r="D7" s="8">
        <v>499.72</v>
      </c>
      <c r="E7" s="1"/>
      <c r="F7" s="6">
        <v>504.98</v>
      </c>
      <c r="G7" s="1"/>
      <c r="H7" s="7">
        <v>507.98</v>
      </c>
      <c r="I7" s="1"/>
      <c r="J7" s="6">
        <v>501.64</v>
      </c>
      <c r="K7" s="1"/>
    </row>
    <row r="8" ht="15" customHeight="1" spans="1:11">
      <c r="A8" s="4">
        <v>6</v>
      </c>
      <c r="B8" s="1" t="s">
        <v>83</v>
      </c>
      <c r="C8" s="1">
        <v>485.1</v>
      </c>
      <c r="D8" s="1" t="s">
        <v>84</v>
      </c>
      <c r="E8" s="1">
        <v>487.7</v>
      </c>
      <c r="F8" s="1" t="s">
        <v>85</v>
      </c>
      <c r="G8" s="1">
        <v>489.6</v>
      </c>
      <c r="H8" s="1" t="s">
        <v>86</v>
      </c>
      <c r="I8" s="1">
        <v>494.7</v>
      </c>
      <c r="J8" s="1" t="s">
        <v>87</v>
      </c>
      <c r="K8" s="1">
        <v>485</v>
      </c>
    </row>
    <row r="9" ht="15" customHeight="1" spans="1:11">
      <c r="A9" s="4">
        <v>7</v>
      </c>
      <c r="B9" s="1" t="s">
        <v>88</v>
      </c>
      <c r="C9" s="1">
        <v>484.3</v>
      </c>
      <c r="D9" s="1" t="s">
        <v>89</v>
      </c>
      <c r="E9" s="1">
        <v>483.3</v>
      </c>
      <c r="F9" s="1" t="s">
        <v>90</v>
      </c>
      <c r="G9" s="1">
        <v>489.1</v>
      </c>
      <c r="H9" s="1" t="s">
        <v>91</v>
      </c>
      <c r="I9" s="1">
        <v>490.8</v>
      </c>
      <c r="J9" s="1" t="s">
        <v>92</v>
      </c>
      <c r="K9" s="1">
        <v>480.7</v>
      </c>
    </row>
    <row r="10" ht="15" customHeight="1" spans="1:11">
      <c r="A10" s="4">
        <v>8</v>
      </c>
      <c r="B10" s="1" t="s">
        <v>93</v>
      </c>
      <c r="C10" s="1">
        <v>483</v>
      </c>
      <c r="D10" s="1" t="s">
        <v>94</v>
      </c>
      <c r="E10" s="1">
        <v>478.3</v>
      </c>
      <c r="F10" s="1" t="s">
        <v>95</v>
      </c>
      <c r="G10" s="1">
        <v>488.7</v>
      </c>
      <c r="H10" s="1" t="s">
        <v>96</v>
      </c>
      <c r="I10" s="1">
        <v>488.8</v>
      </c>
      <c r="J10" s="1" t="s">
        <v>97</v>
      </c>
      <c r="K10" s="1">
        <v>476.7</v>
      </c>
    </row>
    <row r="11" ht="15" customHeight="1" spans="1:11">
      <c r="A11" s="4">
        <v>9</v>
      </c>
      <c r="B11" s="1" t="s">
        <v>98</v>
      </c>
      <c r="C11" s="1">
        <v>476.7</v>
      </c>
      <c r="D11" s="1" t="s">
        <v>99</v>
      </c>
      <c r="E11" s="1">
        <v>477.8</v>
      </c>
      <c r="F11" s="1" t="s">
        <v>100</v>
      </c>
      <c r="G11" s="1">
        <v>485.9</v>
      </c>
      <c r="H11" s="1" t="s">
        <v>101</v>
      </c>
      <c r="I11" s="1">
        <v>482.7</v>
      </c>
      <c r="J11" s="1" t="s">
        <v>102</v>
      </c>
      <c r="K11" s="1">
        <v>472.9</v>
      </c>
    </row>
    <row r="12" ht="15" customHeight="1" spans="1:11">
      <c r="A12" s="4">
        <v>10</v>
      </c>
      <c r="B12" s="1" t="s">
        <v>103</v>
      </c>
      <c r="C12" s="1">
        <v>473.1</v>
      </c>
      <c r="D12" s="1" t="s">
        <v>104</v>
      </c>
      <c r="E12" s="1">
        <v>472.6</v>
      </c>
      <c r="F12" s="1" t="s">
        <v>105</v>
      </c>
      <c r="G12" s="1">
        <v>484.6</v>
      </c>
      <c r="H12" s="1" t="s">
        <v>106</v>
      </c>
      <c r="I12" s="1">
        <v>482.5</v>
      </c>
      <c r="J12" s="1" t="s">
        <v>107</v>
      </c>
      <c r="K12" s="1">
        <v>467.4</v>
      </c>
    </row>
    <row r="13" ht="15" customHeight="1" spans="1:11">
      <c r="A13" s="5" t="s">
        <v>82</v>
      </c>
      <c r="B13" s="6">
        <v>491.65</v>
      </c>
      <c r="C13" s="1"/>
      <c r="D13" s="6">
        <v>489.83</v>
      </c>
      <c r="E13" s="1"/>
      <c r="F13" s="6">
        <v>496.28</v>
      </c>
      <c r="G13" s="1"/>
      <c r="H13" s="7">
        <v>497.94</v>
      </c>
      <c r="I13" s="1"/>
      <c r="J13" s="8">
        <v>489.09</v>
      </c>
      <c r="K13" s="1"/>
    </row>
    <row r="14" ht="15" customHeight="1" spans="1:11">
      <c r="A14" s="4">
        <v>11</v>
      </c>
      <c r="B14" s="1" t="s">
        <v>108</v>
      </c>
      <c r="C14" s="1">
        <v>472.6</v>
      </c>
      <c r="D14" s="1" t="s">
        <v>109</v>
      </c>
      <c r="E14" s="1">
        <v>471.2</v>
      </c>
      <c r="F14" s="1" t="s">
        <v>110</v>
      </c>
      <c r="G14" s="1">
        <v>479.9</v>
      </c>
      <c r="H14" s="1" t="s">
        <v>111</v>
      </c>
      <c r="I14" s="1">
        <v>479.5</v>
      </c>
      <c r="J14" s="1" t="s">
        <v>112</v>
      </c>
      <c r="K14" s="1">
        <v>465.4</v>
      </c>
    </row>
    <row r="15" ht="15" customHeight="1" spans="1:11">
      <c r="A15" s="4">
        <v>12</v>
      </c>
      <c r="B15" s="1" t="s">
        <v>113</v>
      </c>
      <c r="C15" s="1">
        <v>472.5</v>
      </c>
      <c r="D15" s="1" t="s">
        <v>114</v>
      </c>
      <c r="E15" s="1">
        <v>467.9</v>
      </c>
      <c r="F15" s="1" t="s">
        <v>115</v>
      </c>
      <c r="G15" s="1">
        <v>479.4</v>
      </c>
      <c r="H15" s="1" t="s">
        <v>116</v>
      </c>
      <c r="I15" s="1">
        <v>479.4</v>
      </c>
      <c r="J15" s="1" t="s">
        <v>117</v>
      </c>
      <c r="K15" s="1">
        <v>465.4</v>
      </c>
    </row>
    <row r="16" ht="15" customHeight="1" spans="1:11">
      <c r="A16" s="4">
        <v>13</v>
      </c>
      <c r="B16" s="1" t="s">
        <v>118</v>
      </c>
      <c r="C16" s="1">
        <v>471.9</v>
      </c>
      <c r="D16" s="1" t="s">
        <v>119</v>
      </c>
      <c r="E16" s="1">
        <v>467</v>
      </c>
      <c r="F16" s="1" t="s">
        <v>120</v>
      </c>
      <c r="G16" s="1">
        <v>478.7</v>
      </c>
      <c r="H16" s="1" t="s">
        <v>121</v>
      </c>
      <c r="I16" s="1">
        <v>474.8</v>
      </c>
      <c r="J16" s="1" t="s">
        <v>122</v>
      </c>
      <c r="K16" s="1">
        <v>465</v>
      </c>
    </row>
    <row r="17" ht="15" customHeight="1" spans="1:11">
      <c r="A17" s="4">
        <v>14</v>
      </c>
      <c r="B17" s="1" t="s">
        <v>123</v>
      </c>
      <c r="C17" s="1">
        <v>471.3</v>
      </c>
      <c r="D17" s="1" t="s">
        <v>124</v>
      </c>
      <c r="E17" s="1">
        <v>466.5</v>
      </c>
      <c r="F17" s="1" t="s">
        <v>125</v>
      </c>
      <c r="G17" s="1">
        <v>475.3</v>
      </c>
      <c r="H17" s="1" t="s">
        <v>126</v>
      </c>
      <c r="I17" s="1">
        <v>464.6</v>
      </c>
      <c r="J17" s="1" t="s">
        <v>127</v>
      </c>
      <c r="K17" s="1">
        <v>461.6</v>
      </c>
    </row>
    <row r="18" ht="15" customHeight="1" spans="1:11">
      <c r="A18" s="4">
        <v>15</v>
      </c>
      <c r="B18" s="1" t="s">
        <v>128</v>
      </c>
      <c r="C18" s="1">
        <v>470.2</v>
      </c>
      <c r="D18" s="1" t="s">
        <v>129</v>
      </c>
      <c r="E18" s="1">
        <v>465.3</v>
      </c>
      <c r="F18" s="1" t="s">
        <v>130</v>
      </c>
      <c r="G18" s="1">
        <v>473.2</v>
      </c>
      <c r="H18" s="1" t="s">
        <v>131</v>
      </c>
      <c r="I18" s="1">
        <v>464.2</v>
      </c>
      <c r="J18" s="1" t="s">
        <v>132</v>
      </c>
      <c r="K18" s="1">
        <v>460.5</v>
      </c>
    </row>
    <row r="19" ht="15" customHeight="1" spans="1:11">
      <c r="A19" s="5" t="s">
        <v>82</v>
      </c>
      <c r="B19" s="6">
        <v>485</v>
      </c>
      <c r="C19" s="1"/>
      <c r="D19" s="6">
        <v>482.413333333333</v>
      </c>
      <c r="E19" s="1"/>
      <c r="F19" s="7">
        <v>489.953333333333</v>
      </c>
      <c r="G19" s="1"/>
      <c r="H19" s="6">
        <v>489.46</v>
      </c>
      <c r="I19" s="1"/>
      <c r="J19" s="8">
        <v>480.586666666667</v>
      </c>
      <c r="K19" s="1"/>
    </row>
    <row r="20" ht="15" customHeight="1" spans="1:11">
      <c r="A20" s="4">
        <v>16</v>
      </c>
      <c r="B20" s="1" t="s">
        <v>133</v>
      </c>
      <c r="C20" s="1">
        <v>467.6</v>
      </c>
      <c r="D20" s="1" t="s">
        <v>134</v>
      </c>
      <c r="E20" s="1">
        <v>465.1</v>
      </c>
      <c r="F20" s="1" t="s">
        <v>135</v>
      </c>
      <c r="G20" s="1">
        <v>468.7</v>
      </c>
      <c r="H20" s="1" t="s">
        <v>136</v>
      </c>
      <c r="I20" s="1">
        <v>461.5</v>
      </c>
      <c r="J20" s="1" t="s">
        <v>137</v>
      </c>
      <c r="K20" s="1">
        <v>460.4</v>
      </c>
    </row>
    <row r="21" ht="15" customHeight="1" spans="1:11">
      <c r="A21" s="4">
        <v>17</v>
      </c>
      <c r="B21" s="1" t="s">
        <v>138</v>
      </c>
      <c r="C21" s="1">
        <v>465.8</v>
      </c>
      <c r="D21" s="1" t="s">
        <v>139</v>
      </c>
      <c r="E21" s="1">
        <v>464.4</v>
      </c>
      <c r="F21" s="1" t="s">
        <v>140</v>
      </c>
      <c r="G21" s="1">
        <v>468.4</v>
      </c>
      <c r="H21" s="1" t="s">
        <v>141</v>
      </c>
      <c r="I21" s="1">
        <v>460</v>
      </c>
      <c r="J21" s="1" t="s">
        <v>142</v>
      </c>
      <c r="K21" s="1">
        <v>459.4</v>
      </c>
    </row>
    <row r="22" ht="15" customHeight="1" spans="1:11">
      <c r="A22" s="4">
        <v>18</v>
      </c>
      <c r="B22" s="1" t="s">
        <v>143</v>
      </c>
      <c r="C22" s="1">
        <v>465.5</v>
      </c>
      <c r="D22" s="1" t="s">
        <v>144</v>
      </c>
      <c r="E22" s="1">
        <v>455.8</v>
      </c>
      <c r="F22" s="1" t="s">
        <v>145</v>
      </c>
      <c r="G22" s="1">
        <v>468.3</v>
      </c>
      <c r="H22" s="1" t="s">
        <v>146</v>
      </c>
      <c r="I22" s="1">
        <v>459.1</v>
      </c>
      <c r="J22" s="1" t="s">
        <v>147</v>
      </c>
      <c r="K22" s="1">
        <v>459.3</v>
      </c>
    </row>
    <row r="23" ht="15" customHeight="1" spans="1:11">
      <c r="A23" s="4">
        <v>19</v>
      </c>
      <c r="B23" s="1" t="s">
        <v>148</v>
      </c>
      <c r="C23" s="1">
        <v>462</v>
      </c>
      <c r="D23" s="1" t="s">
        <v>149</v>
      </c>
      <c r="E23" s="1">
        <v>448.9</v>
      </c>
      <c r="F23" s="1" t="s">
        <v>150</v>
      </c>
      <c r="G23" s="1">
        <v>466.5</v>
      </c>
      <c r="H23" s="1" t="s">
        <v>151</v>
      </c>
      <c r="I23" s="1">
        <v>450.9</v>
      </c>
      <c r="J23" s="1" t="s">
        <v>152</v>
      </c>
      <c r="K23" s="1">
        <v>455.1</v>
      </c>
    </row>
    <row r="24" ht="15" customHeight="1" spans="1:11">
      <c r="A24" s="4">
        <v>20</v>
      </c>
      <c r="B24" s="1" t="s">
        <v>153</v>
      </c>
      <c r="C24" s="1">
        <v>460.5</v>
      </c>
      <c r="D24" s="1" t="s">
        <v>154</v>
      </c>
      <c r="E24" s="1">
        <v>447.8</v>
      </c>
      <c r="F24" s="1" t="s">
        <v>155</v>
      </c>
      <c r="G24" s="1">
        <v>462</v>
      </c>
      <c r="H24" s="1" t="s">
        <v>156</v>
      </c>
      <c r="I24" s="1">
        <v>450.1</v>
      </c>
      <c r="J24" s="1" t="s">
        <v>157</v>
      </c>
      <c r="K24" s="1">
        <v>446.7</v>
      </c>
    </row>
    <row r="25" ht="15" customHeight="1" spans="1:11">
      <c r="A25" s="5" t="s">
        <v>82</v>
      </c>
      <c r="B25" s="6">
        <v>479.82</v>
      </c>
      <c r="C25" s="1"/>
      <c r="D25" s="6">
        <v>475.91</v>
      </c>
      <c r="E25" s="1"/>
      <c r="F25" s="7">
        <v>484.16</v>
      </c>
      <c r="G25" s="1"/>
      <c r="H25" s="6">
        <v>481.175</v>
      </c>
      <c r="I25" s="1"/>
      <c r="J25" s="8">
        <v>474.485</v>
      </c>
      <c r="K25" s="1"/>
    </row>
    <row r="26" ht="15" customHeight="1" spans="1:11">
      <c r="A26" s="4">
        <v>21</v>
      </c>
      <c r="B26" s="1" t="s">
        <v>158</v>
      </c>
      <c r="C26" s="1">
        <v>454.8</v>
      </c>
      <c r="D26" s="1" t="s">
        <v>159</v>
      </c>
      <c r="E26" s="1">
        <v>441.4</v>
      </c>
      <c r="F26" s="1" t="s">
        <v>160</v>
      </c>
      <c r="G26" s="1">
        <v>460.8</v>
      </c>
      <c r="H26" s="1" t="s">
        <v>161</v>
      </c>
      <c r="I26" s="1">
        <v>448.3</v>
      </c>
      <c r="J26" s="1" t="s">
        <v>162</v>
      </c>
      <c r="K26" s="1">
        <v>446.4</v>
      </c>
    </row>
    <row r="27" ht="15" customHeight="1" spans="1:11">
      <c r="A27" s="4">
        <v>22</v>
      </c>
      <c r="B27" s="1" t="s">
        <v>163</v>
      </c>
      <c r="C27" s="1">
        <v>443.2</v>
      </c>
      <c r="D27" s="1" t="s">
        <v>164</v>
      </c>
      <c r="E27" s="1">
        <v>436.7</v>
      </c>
      <c r="F27" s="1" t="s">
        <v>165</v>
      </c>
      <c r="G27" s="1">
        <v>460.6</v>
      </c>
      <c r="H27" s="1" t="s">
        <v>166</v>
      </c>
      <c r="I27" s="1">
        <v>447.9</v>
      </c>
      <c r="J27" s="1" t="s">
        <v>167</v>
      </c>
      <c r="K27" s="1">
        <v>441.2</v>
      </c>
    </row>
    <row r="28" ht="15" customHeight="1" spans="1:11">
      <c r="A28" s="4">
        <v>23</v>
      </c>
      <c r="B28" s="1" t="s">
        <v>168</v>
      </c>
      <c r="C28" s="1">
        <v>441.6</v>
      </c>
      <c r="D28" s="1" t="s">
        <v>169</v>
      </c>
      <c r="E28" s="1">
        <v>436.2</v>
      </c>
      <c r="F28" s="1" t="s">
        <v>170</v>
      </c>
      <c r="G28" s="1">
        <v>459.5</v>
      </c>
      <c r="H28" s="1" t="s">
        <v>171</v>
      </c>
      <c r="I28" s="1">
        <v>445.2</v>
      </c>
      <c r="J28" s="1" t="s">
        <v>172</v>
      </c>
      <c r="K28" s="1">
        <v>437.9</v>
      </c>
    </row>
    <row r="29" ht="15" customHeight="1" spans="1:11">
      <c r="A29" s="4">
        <v>24</v>
      </c>
      <c r="B29" s="1" t="s">
        <v>173</v>
      </c>
      <c r="C29" s="1">
        <v>436.9</v>
      </c>
      <c r="D29" s="1" t="s">
        <v>174</v>
      </c>
      <c r="E29" s="1">
        <v>423.7</v>
      </c>
      <c r="F29" s="1" t="s">
        <v>175</v>
      </c>
      <c r="G29" s="1">
        <v>459.3</v>
      </c>
      <c r="H29" s="1" t="s">
        <v>176</v>
      </c>
      <c r="I29" s="1">
        <v>436.5</v>
      </c>
      <c r="J29" s="1" t="s">
        <v>177</v>
      </c>
      <c r="K29" s="1">
        <v>434.2</v>
      </c>
    </row>
    <row r="30" ht="15" customHeight="1" spans="1:11">
      <c r="A30" s="4">
        <v>25</v>
      </c>
      <c r="B30" s="1" t="s">
        <v>178</v>
      </c>
      <c r="C30" s="1">
        <v>436.4</v>
      </c>
      <c r="D30" s="1" t="s">
        <v>179</v>
      </c>
      <c r="E30" s="1">
        <v>421.5</v>
      </c>
      <c r="F30" s="1" t="s">
        <v>180</v>
      </c>
      <c r="G30" s="1">
        <v>455.4</v>
      </c>
      <c r="H30" s="1" t="s">
        <v>181</v>
      </c>
      <c r="I30" s="1">
        <v>436.5</v>
      </c>
      <c r="J30" s="1" t="s">
        <v>182</v>
      </c>
      <c r="K30" s="1">
        <v>430.7</v>
      </c>
    </row>
    <row r="31" ht="15" customHeight="1" spans="1:11">
      <c r="A31" s="5" t="s">
        <v>82</v>
      </c>
      <c r="B31" s="6">
        <v>472.372</v>
      </c>
      <c r="C31" s="1"/>
      <c r="D31" s="8">
        <v>467.108</v>
      </c>
      <c r="E31" s="1"/>
      <c r="F31" s="7">
        <v>479.152</v>
      </c>
      <c r="G31" s="1"/>
      <c r="H31" s="6">
        <v>473.516</v>
      </c>
      <c r="I31" s="1"/>
      <c r="J31" s="6">
        <v>467.204</v>
      </c>
      <c r="K31" s="1"/>
    </row>
    <row r="32" ht="15" customHeight="1" spans="1:11">
      <c r="A32" s="4">
        <v>26</v>
      </c>
      <c r="B32" s="1" t="s">
        <v>183</v>
      </c>
      <c r="C32" s="1">
        <v>433.6</v>
      </c>
      <c r="D32" s="1" t="s">
        <v>184</v>
      </c>
      <c r="E32" s="1">
        <v>421.1</v>
      </c>
      <c r="F32" s="1" t="s">
        <v>185</v>
      </c>
      <c r="G32" s="1">
        <v>449.4</v>
      </c>
      <c r="H32" s="1" t="s">
        <v>186</v>
      </c>
      <c r="I32" s="1">
        <v>436.2</v>
      </c>
      <c r="J32" s="1" t="s">
        <v>187</v>
      </c>
      <c r="K32" s="1">
        <v>430.3</v>
      </c>
    </row>
    <row r="33" ht="15" customHeight="1" spans="1:11">
      <c r="A33" s="4">
        <v>27</v>
      </c>
      <c r="B33" s="1" t="s">
        <v>188</v>
      </c>
      <c r="C33" s="1">
        <v>433.1</v>
      </c>
      <c r="D33" s="1" t="s">
        <v>189</v>
      </c>
      <c r="E33" s="1">
        <v>418.2</v>
      </c>
      <c r="F33" s="1" t="s">
        <v>190</v>
      </c>
      <c r="G33" s="1">
        <v>448.2</v>
      </c>
      <c r="H33" s="1" t="s">
        <v>191</v>
      </c>
      <c r="I33" s="1">
        <v>430.7</v>
      </c>
      <c r="J33" s="1" t="s">
        <v>192</v>
      </c>
      <c r="K33" s="1">
        <v>413</v>
      </c>
    </row>
    <row r="34" ht="15" customHeight="1" spans="1:11">
      <c r="A34" s="4">
        <v>28</v>
      </c>
      <c r="B34" s="1" t="s">
        <v>193</v>
      </c>
      <c r="C34" s="1">
        <v>431.6</v>
      </c>
      <c r="D34" s="1" t="s">
        <v>194</v>
      </c>
      <c r="E34" s="1">
        <v>408.4</v>
      </c>
      <c r="F34" s="1" t="s">
        <v>195</v>
      </c>
      <c r="G34" s="1">
        <v>444.4</v>
      </c>
      <c r="H34" s="1" t="s">
        <v>196</v>
      </c>
      <c r="I34" s="1">
        <v>428.1</v>
      </c>
      <c r="J34" s="1" t="s">
        <v>197</v>
      </c>
      <c r="K34" s="1">
        <v>409.4</v>
      </c>
    </row>
    <row r="35" ht="15" customHeight="1" spans="1:11">
      <c r="A35" s="4">
        <v>29</v>
      </c>
      <c r="B35" s="1" t="s">
        <v>198</v>
      </c>
      <c r="C35" s="1">
        <v>430.1</v>
      </c>
      <c r="D35" s="1" t="s">
        <v>199</v>
      </c>
      <c r="E35" s="1">
        <v>407</v>
      </c>
      <c r="F35" s="1" t="s">
        <v>200</v>
      </c>
      <c r="G35" s="1">
        <v>435.7</v>
      </c>
      <c r="H35" s="1" t="s">
        <v>201</v>
      </c>
      <c r="I35" s="1">
        <v>427.7</v>
      </c>
      <c r="J35" s="1" t="s">
        <v>202</v>
      </c>
      <c r="K35" s="1">
        <v>407.8</v>
      </c>
    </row>
    <row r="36" ht="15" customHeight="1" spans="1:11">
      <c r="A36" s="4">
        <v>30</v>
      </c>
      <c r="B36" s="1" t="s">
        <v>203</v>
      </c>
      <c r="C36" s="1">
        <v>427.5</v>
      </c>
      <c r="D36" s="1" t="s">
        <v>204</v>
      </c>
      <c r="E36" s="1">
        <v>405.7</v>
      </c>
      <c r="F36" s="1" t="s">
        <v>205</v>
      </c>
      <c r="G36" s="1">
        <v>431.9</v>
      </c>
      <c r="H36" s="1" t="s">
        <v>206</v>
      </c>
      <c r="I36" s="1">
        <v>427.6</v>
      </c>
      <c r="J36" s="1" t="s">
        <v>207</v>
      </c>
      <c r="K36" s="1">
        <v>401</v>
      </c>
    </row>
    <row r="37" ht="15" customHeight="1" spans="1:11">
      <c r="A37" s="5" t="s">
        <v>82</v>
      </c>
      <c r="B37" s="6">
        <v>465.506666666667</v>
      </c>
      <c r="C37" s="1"/>
      <c r="D37" s="8">
        <v>457.936666666667</v>
      </c>
      <c r="E37" s="1"/>
      <c r="F37" s="7">
        <v>472.946666666667</v>
      </c>
      <c r="G37" s="1"/>
      <c r="H37" s="6">
        <v>466.273333333333</v>
      </c>
      <c r="I37" s="1"/>
      <c r="J37" s="6">
        <v>458.053333333333</v>
      </c>
      <c r="K37" s="1"/>
    </row>
    <row r="38" ht="15" customHeight="1" spans="1:11">
      <c r="A38" s="4">
        <v>31</v>
      </c>
      <c r="B38" s="1" t="s">
        <v>208</v>
      </c>
      <c r="C38" s="1">
        <v>424.7</v>
      </c>
      <c r="D38" s="1" t="s">
        <v>209</v>
      </c>
      <c r="E38" s="1">
        <v>404.2</v>
      </c>
      <c r="F38" s="1" t="s">
        <v>210</v>
      </c>
      <c r="G38" s="1">
        <v>421</v>
      </c>
      <c r="H38" s="1" t="s">
        <v>211</v>
      </c>
      <c r="I38" s="1">
        <v>418.9</v>
      </c>
      <c r="J38" s="1" t="s">
        <v>212</v>
      </c>
      <c r="K38" s="1">
        <v>399.8</v>
      </c>
    </row>
    <row r="39" ht="15" customHeight="1" spans="1:11">
      <c r="A39" s="4">
        <v>32</v>
      </c>
      <c r="B39" s="1" t="s">
        <v>213</v>
      </c>
      <c r="C39" s="1">
        <v>419.4</v>
      </c>
      <c r="D39" s="1" t="s">
        <v>214</v>
      </c>
      <c r="E39" s="1">
        <v>399.3</v>
      </c>
      <c r="F39" s="1" t="s">
        <v>215</v>
      </c>
      <c r="G39" s="1">
        <v>411.1</v>
      </c>
      <c r="H39" s="1" t="s">
        <v>216</v>
      </c>
      <c r="I39" s="1">
        <v>410.8</v>
      </c>
      <c r="J39" s="1" t="s">
        <v>217</v>
      </c>
      <c r="K39" s="1">
        <v>396.3</v>
      </c>
    </row>
    <row r="40" ht="15" customHeight="1" spans="1:11">
      <c r="A40" s="4">
        <v>33</v>
      </c>
      <c r="B40" s="1" t="s">
        <v>218</v>
      </c>
      <c r="C40" s="1">
        <v>400.4</v>
      </c>
      <c r="D40" s="1" t="s">
        <v>219</v>
      </c>
      <c r="E40" s="1">
        <v>398.6</v>
      </c>
      <c r="F40" s="1" t="s">
        <v>220</v>
      </c>
      <c r="G40" s="1">
        <v>404.7</v>
      </c>
      <c r="H40" s="1" t="s">
        <v>221</v>
      </c>
      <c r="I40" s="1">
        <v>390.9</v>
      </c>
      <c r="J40" s="1" t="s">
        <v>222</v>
      </c>
      <c r="K40" s="1">
        <v>394.2</v>
      </c>
    </row>
    <row r="41" ht="15" customHeight="1" spans="1:11">
      <c r="A41" s="4">
        <v>34</v>
      </c>
      <c r="B41" s="1" t="s">
        <v>223</v>
      </c>
      <c r="C41" s="1">
        <v>381.6</v>
      </c>
      <c r="D41" s="1" t="s">
        <v>224</v>
      </c>
      <c r="E41" s="1">
        <v>395.1</v>
      </c>
      <c r="F41" s="1" t="s">
        <v>225</v>
      </c>
      <c r="G41" s="1">
        <v>399.9</v>
      </c>
      <c r="H41" s="1" t="s">
        <v>226</v>
      </c>
      <c r="I41" s="1">
        <v>389</v>
      </c>
      <c r="J41" s="1" t="s">
        <v>227</v>
      </c>
      <c r="K41" s="1">
        <v>386.8</v>
      </c>
    </row>
    <row r="42" ht="15" customHeight="1" spans="1:11">
      <c r="A42" s="4">
        <v>35</v>
      </c>
      <c r="B42" s="1" t="s">
        <v>228</v>
      </c>
      <c r="C42" s="1">
        <v>375.9</v>
      </c>
      <c r="D42" s="1" t="s">
        <v>229</v>
      </c>
      <c r="E42" s="1">
        <v>394.3</v>
      </c>
      <c r="F42" s="1" t="s">
        <v>230</v>
      </c>
      <c r="G42" s="1">
        <v>395.9</v>
      </c>
      <c r="H42" s="1" t="s">
        <v>231</v>
      </c>
      <c r="I42" s="1">
        <v>385.2</v>
      </c>
      <c r="J42" s="1" t="s">
        <v>232</v>
      </c>
      <c r="K42" s="1">
        <v>385.9</v>
      </c>
    </row>
    <row r="43" ht="15" customHeight="1" spans="1:11">
      <c r="A43" s="5" t="s">
        <v>82</v>
      </c>
      <c r="B43" s="6">
        <v>456.205714285714</v>
      </c>
      <c r="C43" s="1"/>
      <c r="D43" s="6">
        <v>449.417142857143</v>
      </c>
      <c r="E43" s="1"/>
      <c r="F43" s="7">
        <v>463.457142857143</v>
      </c>
      <c r="G43" s="1"/>
      <c r="H43" s="6">
        <v>456.657142857143</v>
      </c>
      <c r="I43" s="1"/>
      <c r="J43" s="8">
        <v>448.702857142857</v>
      </c>
      <c r="K43" s="1"/>
    </row>
    <row r="44" ht="15" customHeight="1" spans="1:11">
      <c r="A44" s="4">
        <v>36</v>
      </c>
      <c r="B44" s="1" t="s">
        <v>233</v>
      </c>
      <c r="C44" s="1">
        <v>375.8</v>
      </c>
      <c r="D44" s="1" t="s">
        <v>234</v>
      </c>
      <c r="E44" s="1">
        <v>389.4</v>
      </c>
      <c r="F44" s="1" t="s">
        <v>235</v>
      </c>
      <c r="G44" s="1">
        <v>393.9</v>
      </c>
      <c r="H44" s="1" t="s">
        <v>236</v>
      </c>
      <c r="I44" s="1">
        <v>372.7</v>
      </c>
      <c r="J44" s="1" t="s">
        <v>237</v>
      </c>
      <c r="K44" s="1">
        <v>370.3</v>
      </c>
    </row>
    <row r="45" ht="15" customHeight="1" spans="1:11">
      <c r="A45" s="4">
        <v>37</v>
      </c>
      <c r="B45" s="1" t="s">
        <v>238</v>
      </c>
      <c r="C45" s="1">
        <v>368.4</v>
      </c>
      <c r="D45" s="1" t="s">
        <v>239</v>
      </c>
      <c r="E45" s="1">
        <v>358.1</v>
      </c>
      <c r="F45" s="1" t="s">
        <v>240</v>
      </c>
      <c r="G45" s="1">
        <v>382.3</v>
      </c>
      <c r="H45" s="1" t="s">
        <v>241</v>
      </c>
      <c r="I45" s="1">
        <v>370.4</v>
      </c>
      <c r="J45" s="1" t="s">
        <v>242</v>
      </c>
      <c r="K45" s="1">
        <v>343</v>
      </c>
    </row>
    <row r="46" ht="15" customHeight="1" spans="1:11">
      <c r="A46" s="4">
        <v>38</v>
      </c>
      <c r="B46" s="1" t="s">
        <v>243</v>
      </c>
      <c r="C46" s="1">
        <v>368</v>
      </c>
      <c r="D46" s="1" t="s">
        <v>244</v>
      </c>
      <c r="E46" s="1">
        <v>352</v>
      </c>
      <c r="F46" s="1" t="s">
        <v>245</v>
      </c>
      <c r="G46" s="1">
        <v>372.1</v>
      </c>
      <c r="H46" s="1" t="s">
        <v>246</v>
      </c>
      <c r="I46" s="1">
        <v>369.1</v>
      </c>
      <c r="J46" s="1" t="s">
        <v>247</v>
      </c>
      <c r="K46" s="1">
        <v>337.7</v>
      </c>
    </row>
    <row r="47" ht="15" customHeight="1" spans="1:11">
      <c r="A47" s="4">
        <v>39</v>
      </c>
      <c r="B47" s="1" t="s">
        <v>248</v>
      </c>
      <c r="C47" s="1">
        <v>354.8</v>
      </c>
      <c r="D47" s="1" t="s">
        <v>249</v>
      </c>
      <c r="E47" s="1">
        <v>347.3</v>
      </c>
      <c r="F47" s="1" t="s">
        <v>250</v>
      </c>
      <c r="G47" s="1">
        <v>369.8</v>
      </c>
      <c r="H47" s="1" t="s">
        <v>251</v>
      </c>
      <c r="I47" s="1">
        <v>364.8</v>
      </c>
      <c r="J47" s="1" t="s">
        <v>252</v>
      </c>
      <c r="K47" s="1">
        <v>329.1</v>
      </c>
    </row>
    <row r="48" ht="15" customHeight="1" spans="1:11">
      <c r="A48" s="4">
        <v>40</v>
      </c>
      <c r="B48" s="1" t="s">
        <v>253</v>
      </c>
      <c r="C48" s="1">
        <v>352.9</v>
      </c>
      <c r="D48" s="1" t="s">
        <v>254</v>
      </c>
      <c r="E48" s="1">
        <v>328.4</v>
      </c>
      <c r="F48" s="1" t="s">
        <v>255</v>
      </c>
      <c r="G48" s="1">
        <v>357.7</v>
      </c>
      <c r="H48" s="1" t="s">
        <v>256</v>
      </c>
      <c r="I48" s="1">
        <v>348.3</v>
      </c>
      <c r="J48" s="1" t="s">
        <v>257</v>
      </c>
      <c r="K48" s="1">
        <v>304.7</v>
      </c>
    </row>
    <row r="49" ht="15" customHeight="1" spans="1:11">
      <c r="A49" s="5" t="s">
        <v>82</v>
      </c>
      <c r="B49" s="6">
        <v>444.6775</v>
      </c>
      <c r="C49" s="1"/>
      <c r="D49" s="6">
        <v>437.62</v>
      </c>
      <c r="E49" s="1"/>
      <c r="F49" s="7">
        <v>452.42</v>
      </c>
      <c r="G49" s="1"/>
      <c r="H49" s="6">
        <v>445.2075</v>
      </c>
      <c r="I49" s="1"/>
      <c r="J49" s="8">
        <v>434.735</v>
      </c>
      <c r="K49" s="1"/>
    </row>
    <row r="50" ht="15" customHeight="1" spans="1:11">
      <c r="A50" s="4">
        <v>41</v>
      </c>
      <c r="B50" s="1" t="s">
        <v>258</v>
      </c>
      <c r="C50" s="1">
        <v>333.9</v>
      </c>
      <c r="D50" s="1" t="s">
        <v>259</v>
      </c>
      <c r="E50" s="1">
        <v>259.7</v>
      </c>
      <c r="F50" s="1" t="s">
        <v>260</v>
      </c>
      <c r="G50" s="1">
        <v>352.7</v>
      </c>
      <c r="H50" s="1" t="s">
        <v>261</v>
      </c>
      <c r="I50" s="1">
        <v>341.1</v>
      </c>
      <c r="J50" s="1" t="s">
        <v>262</v>
      </c>
      <c r="K50" s="1">
        <v>284.4</v>
      </c>
    </row>
    <row r="51" ht="15" customHeight="1" spans="1:11">
      <c r="A51" s="4">
        <v>42</v>
      </c>
      <c r="B51" s="1" t="s">
        <v>263</v>
      </c>
      <c r="C51" s="1">
        <v>317.4</v>
      </c>
      <c r="D51" s="1" t="s">
        <v>264</v>
      </c>
      <c r="E51" s="1">
        <v>256.2</v>
      </c>
      <c r="F51" s="1" t="s">
        <v>265</v>
      </c>
      <c r="G51" s="1">
        <v>341.9</v>
      </c>
      <c r="H51" s="1" t="s">
        <v>266</v>
      </c>
      <c r="I51" s="1">
        <v>338.8</v>
      </c>
      <c r="J51" s="1" t="s">
        <v>267</v>
      </c>
      <c r="K51" s="1">
        <v>249.6</v>
      </c>
    </row>
    <row r="52" ht="15" customHeight="1" spans="1:11">
      <c r="A52" s="4">
        <v>43</v>
      </c>
      <c r="B52" s="1" t="s">
        <v>268</v>
      </c>
      <c r="C52" s="1">
        <v>273.4</v>
      </c>
      <c r="D52" s="1" t="s">
        <v>269</v>
      </c>
      <c r="E52" s="1">
        <v>253.6</v>
      </c>
      <c r="F52" s="1" t="s">
        <v>270</v>
      </c>
      <c r="G52" s="1">
        <v>336.8</v>
      </c>
      <c r="H52" s="1" t="s">
        <v>271</v>
      </c>
      <c r="I52" s="1">
        <v>316.4</v>
      </c>
      <c r="J52" s="1" t="s">
        <v>272</v>
      </c>
      <c r="K52" s="1">
        <v>232.5</v>
      </c>
    </row>
    <row r="53" ht="15" customHeight="1" spans="1:11">
      <c r="A53" s="4">
        <v>44</v>
      </c>
      <c r="B53" s="1" t="s">
        <v>273</v>
      </c>
      <c r="C53" s="1">
        <v>242.2</v>
      </c>
      <c r="D53" s="1" t="s">
        <v>274</v>
      </c>
      <c r="E53" s="1">
        <v>208.6</v>
      </c>
      <c r="F53" s="1" t="s">
        <v>275</v>
      </c>
      <c r="G53" s="1">
        <v>302.6</v>
      </c>
      <c r="H53" s="1" t="s">
        <v>276</v>
      </c>
      <c r="I53" s="1">
        <v>249.2</v>
      </c>
      <c r="J53" s="1" t="s">
        <v>277</v>
      </c>
      <c r="K53" s="1">
        <v>231.4</v>
      </c>
    </row>
    <row r="54" ht="15" customHeight="1" spans="1:11">
      <c r="A54" s="4">
        <v>45</v>
      </c>
      <c r="B54" s="1" t="s">
        <v>278</v>
      </c>
      <c r="C54" s="1">
        <v>120.3</v>
      </c>
      <c r="D54" s="1" t="s">
        <v>279</v>
      </c>
      <c r="E54" s="1">
        <v>189.5</v>
      </c>
      <c r="F54" s="1" t="s">
        <v>280</v>
      </c>
      <c r="G54" s="1">
        <v>246.9</v>
      </c>
      <c r="H54" s="1" t="s">
        <v>281</v>
      </c>
      <c r="I54" s="1">
        <v>198.9</v>
      </c>
      <c r="J54" s="1"/>
      <c r="K54" s="1"/>
    </row>
    <row r="55" ht="15" customHeight="1" spans="1:11">
      <c r="A55" s="5" t="s">
        <v>82</v>
      </c>
      <c r="B55" s="6">
        <v>423.873333333333</v>
      </c>
      <c r="C55" s="1"/>
      <c r="D55" s="8">
        <v>414.942222222222</v>
      </c>
      <c r="E55" s="1"/>
      <c r="F55" s="7">
        <v>437.282222222222</v>
      </c>
      <c r="G55" s="1"/>
      <c r="H55" s="6">
        <v>427.837777777778</v>
      </c>
      <c r="I55" s="1"/>
      <c r="J55" s="6">
        <v>417.893181818182</v>
      </c>
      <c r="K55" s="1"/>
    </row>
    <row r="56" ht="15" customHeight="1" spans="1:11">
      <c r="A56" s="4">
        <v>46</v>
      </c>
      <c r="B56" s="1"/>
      <c r="C56" s="1"/>
      <c r="D56" s="1"/>
      <c r="E56" s="1"/>
      <c r="F56" s="1" t="s">
        <v>282</v>
      </c>
      <c r="G56" s="1">
        <v>237.8</v>
      </c>
      <c r="H56" s="1" t="s">
        <v>283</v>
      </c>
      <c r="I56" s="1">
        <v>151.2</v>
      </c>
      <c r="J56" s="1"/>
      <c r="K56" s="1"/>
    </row>
    <row r="57" ht="15" customHeight="1" spans="1:11">
      <c r="A57" s="4">
        <v>47</v>
      </c>
      <c r="B57" s="1"/>
      <c r="C57" s="1"/>
      <c r="D57" s="1"/>
      <c r="E57" s="1"/>
      <c r="F57" s="1" t="s">
        <v>284</v>
      </c>
      <c r="G57" s="1">
        <v>228.1</v>
      </c>
      <c r="H57" s="1"/>
      <c r="I57" s="1"/>
      <c r="J57" s="1"/>
      <c r="K57" s="1"/>
    </row>
    <row r="58" ht="15" customHeight="1" spans="1:11">
      <c r="A58" s="4">
        <v>48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" customHeight="1" spans="1:11">
      <c r="A59" s="4">
        <v>49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" customHeight="1" spans="1:11">
      <c r="A60" s="4">
        <v>50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" customHeight="1" spans="1:11">
      <c r="A61" s="5" t="s">
        <v>82</v>
      </c>
      <c r="B61" s="6">
        <v>423.873333333333</v>
      </c>
      <c r="C61" s="1"/>
      <c r="D61" s="8">
        <v>414.942222222222</v>
      </c>
      <c r="E61" s="1"/>
      <c r="F61" s="7">
        <v>428.587234042553</v>
      </c>
      <c r="G61" s="1"/>
      <c r="H61" s="6">
        <v>421.823913043478</v>
      </c>
      <c r="I61" s="1"/>
      <c r="J61" s="6">
        <v>417.893181818182</v>
      </c>
      <c r="K61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showGridLines="0" workbookViewId="0">
      <selection activeCell="M56" sqref="M56"/>
    </sheetView>
  </sheetViews>
  <sheetFormatPr defaultColWidth="9" defaultRowHeight="13.5"/>
  <sheetData>
    <row r="1" ht="15" customHeight="1" spans="1:11">
      <c r="A1" s="4" t="s">
        <v>50</v>
      </c>
      <c r="B1" s="4" t="s">
        <v>51</v>
      </c>
      <c r="C1" s="4" t="s">
        <v>15</v>
      </c>
      <c r="D1" s="4" t="s">
        <v>53</v>
      </c>
      <c r="E1" s="4" t="s">
        <v>15</v>
      </c>
      <c r="F1" s="4" t="s">
        <v>54</v>
      </c>
      <c r="G1" s="4" t="s">
        <v>15</v>
      </c>
      <c r="H1" s="4" t="s">
        <v>55</v>
      </c>
      <c r="I1" s="4" t="s">
        <v>15</v>
      </c>
      <c r="J1" s="4" t="s">
        <v>56</v>
      </c>
      <c r="K1" s="4" t="s">
        <v>15</v>
      </c>
    </row>
    <row r="2" ht="15" customHeight="1" spans="1:11">
      <c r="A2" s="4">
        <v>1</v>
      </c>
      <c r="B2" s="1" t="s">
        <v>67</v>
      </c>
      <c r="C2" s="1">
        <v>105</v>
      </c>
      <c r="D2" s="1" t="s">
        <v>58</v>
      </c>
      <c r="E2" s="1">
        <v>107</v>
      </c>
      <c r="F2" s="1" t="s">
        <v>69</v>
      </c>
      <c r="G2" s="1">
        <v>105</v>
      </c>
      <c r="H2" s="1" t="s">
        <v>60</v>
      </c>
      <c r="I2" s="1">
        <v>106</v>
      </c>
      <c r="J2" s="1" t="s">
        <v>61</v>
      </c>
      <c r="K2" s="1">
        <v>106.5</v>
      </c>
    </row>
    <row r="3" ht="15" customHeight="1" spans="1:11">
      <c r="A3" s="4">
        <v>2</v>
      </c>
      <c r="B3" s="1" t="s">
        <v>57</v>
      </c>
      <c r="C3" s="1">
        <v>103.5</v>
      </c>
      <c r="D3" s="1" t="s">
        <v>63</v>
      </c>
      <c r="E3" s="1">
        <v>103.5</v>
      </c>
      <c r="F3" s="1" t="s">
        <v>105</v>
      </c>
      <c r="G3" s="1">
        <v>105</v>
      </c>
      <c r="H3" s="1" t="s">
        <v>65</v>
      </c>
      <c r="I3" s="1">
        <v>103</v>
      </c>
      <c r="J3" s="1" t="s">
        <v>81</v>
      </c>
      <c r="K3" s="1">
        <v>105.5</v>
      </c>
    </row>
    <row r="4" ht="15" customHeight="1" spans="1:11">
      <c r="A4" s="4">
        <v>3</v>
      </c>
      <c r="B4" s="1" t="s">
        <v>83</v>
      </c>
      <c r="C4" s="1">
        <v>102</v>
      </c>
      <c r="D4" s="1" t="s">
        <v>68</v>
      </c>
      <c r="E4" s="1">
        <v>102.5</v>
      </c>
      <c r="F4" s="1" t="s">
        <v>64</v>
      </c>
      <c r="G4" s="1">
        <v>103</v>
      </c>
      <c r="H4" s="1" t="s">
        <v>75</v>
      </c>
      <c r="I4" s="1">
        <v>101.5</v>
      </c>
      <c r="J4" s="1" t="s">
        <v>71</v>
      </c>
      <c r="K4" s="1">
        <v>103.5</v>
      </c>
    </row>
    <row r="5" ht="15" customHeight="1" spans="1:11">
      <c r="A5" s="4">
        <v>4</v>
      </c>
      <c r="B5" s="1" t="s">
        <v>98</v>
      </c>
      <c r="C5" s="1">
        <v>99</v>
      </c>
      <c r="D5" s="1" t="s">
        <v>73</v>
      </c>
      <c r="E5" s="1">
        <v>100.5</v>
      </c>
      <c r="F5" s="1" t="s">
        <v>79</v>
      </c>
      <c r="G5" s="1">
        <v>103</v>
      </c>
      <c r="H5" s="1" t="s">
        <v>91</v>
      </c>
      <c r="I5" s="1">
        <v>101</v>
      </c>
      <c r="J5" s="1" t="s">
        <v>66</v>
      </c>
      <c r="K5" s="1">
        <v>102</v>
      </c>
    </row>
    <row r="6" ht="15" customHeight="1" spans="1:11">
      <c r="A6" s="4">
        <v>5</v>
      </c>
      <c r="B6" s="1" t="s">
        <v>72</v>
      </c>
      <c r="C6" s="1">
        <v>98.5</v>
      </c>
      <c r="D6" s="1" t="s">
        <v>99</v>
      </c>
      <c r="E6" s="1">
        <v>100.5</v>
      </c>
      <c r="F6" s="1" t="s">
        <v>59</v>
      </c>
      <c r="G6" s="1">
        <v>101.5</v>
      </c>
      <c r="H6" s="1" t="s">
        <v>126</v>
      </c>
      <c r="I6" s="1">
        <v>101</v>
      </c>
      <c r="J6" s="1" t="s">
        <v>87</v>
      </c>
      <c r="K6" s="1">
        <v>101</v>
      </c>
    </row>
    <row r="7" ht="15" customHeight="1" spans="1:11">
      <c r="A7" s="5" t="s">
        <v>82</v>
      </c>
      <c r="B7" s="8">
        <v>101.6</v>
      </c>
      <c r="C7" s="1"/>
      <c r="D7" s="6">
        <v>102.8</v>
      </c>
      <c r="E7" s="1"/>
      <c r="F7" s="6">
        <v>103.5</v>
      </c>
      <c r="G7" s="1"/>
      <c r="H7" s="6">
        <v>102.5</v>
      </c>
      <c r="I7" s="1"/>
      <c r="J7" s="7">
        <v>103.7</v>
      </c>
      <c r="K7" s="1"/>
    </row>
    <row r="8" ht="15" customHeight="1" spans="1:11">
      <c r="A8" s="4">
        <v>6</v>
      </c>
      <c r="B8" s="1" t="s">
        <v>88</v>
      </c>
      <c r="C8" s="1">
        <v>98.5</v>
      </c>
      <c r="D8" s="1" t="s">
        <v>89</v>
      </c>
      <c r="E8" s="1">
        <v>100</v>
      </c>
      <c r="F8" s="1" t="s">
        <v>74</v>
      </c>
      <c r="G8" s="1">
        <v>100.5</v>
      </c>
      <c r="H8" s="1" t="s">
        <v>166</v>
      </c>
      <c r="I8" s="1">
        <v>99</v>
      </c>
      <c r="J8" s="1" t="s">
        <v>157</v>
      </c>
      <c r="K8" s="1">
        <v>100</v>
      </c>
    </row>
    <row r="9" ht="15" customHeight="1" spans="1:11">
      <c r="A9" s="4">
        <v>7</v>
      </c>
      <c r="B9" s="1" t="s">
        <v>143</v>
      </c>
      <c r="C9" s="1">
        <v>98.5</v>
      </c>
      <c r="D9" s="1" t="s">
        <v>114</v>
      </c>
      <c r="E9" s="1">
        <v>98</v>
      </c>
      <c r="F9" s="1" t="s">
        <v>90</v>
      </c>
      <c r="G9" s="1">
        <v>100</v>
      </c>
      <c r="H9" s="1" t="s">
        <v>70</v>
      </c>
      <c r="I9" s="1">
        <v>98</v>
      </c>
      <c r="J9" s="1" t="s">
        <v>76</v>
      </c>
      <c r="K9" s="1">
        <v>99</v>
      </c>
    </row>
    <row r="10" ht="15" customHeight="1" spans="1:11">
      <c r="A10" s="4">
        <v>8</v>
      </c>
      <c r="B10" s="1" t="s">
        <v>193</v>
      </c>
      <c r="C10" s="1">
        <v>98</v>
      </c>
      <c r="D10" s="1" t="s">
        <v>134</v>
      </c>
      <c r="E10" s="1">
        <v>98</v>
      </c>
      <c r="F10" s="1" t="s">
        <v>95</v>
      </c>
      <c r="G10" s="1">
        <v>99.5</v>
      </c>
      <c r="H10" s="1" t="s">
        <v>80</v>
      </c>
      <c r="I10" s="1">
        <v>98</v>
      </c>
      <c r="J10" s="1" t="s">
        <v>152</v>
      </c>
      <c r="K10" s="1">
        <v>98</v>
      </c>
    </row>
    <row r="11" ht="15" customHeight="1" spans="1:11">
      <c r="A11" s="4">
        <v>9</v>
      </c>
      <c r="B11" s="1" t="s">
        <v>178</v>
      </c>
      <c r="C11" s="1">
        <v>97.5</v>
      </c>
      <c r="D11" s="1" t="s">
        <v>144</v>
      </c>
      <c r="E11" s="1">
        <v>98</v>
      </c>
      <c r="F11" s="1" t="s">
        <v>130</v>
      </c>
      <c r="G11" s="1">
        <v>98.5</v>
      </c>
      <c r="H11" s="1" t="s">
        <v>121</v>
      </c>
      <c r="I11" s="1">
        <v>98</v>
      </c>
      <c r="J11" s="1" t="s">
        <v>167</v>
      </c>
      <c r="K11" s="1">
        <v>98</v>
      </c>
    </row>
    <row r="12" ht="15" customHeight="1" spans="1:11">
      <c r="A12" s="4">
        <v>10</v>
      </c>
      <c r="B12" s="1" t="s">
        <v>62</v>
      </c>
      <c r="C12" s="1">
        <v>97</v>
      </c>
      <c r="D12" s="1" t="s">
        <v>129</v>
      </c>
      <c r="E12" s="1">
        <v>97.5</v>
      </c>
      <c r="F12" s="1" t="s">
        <v>85</v>
      </c>
      <c r="G12" s="1">
        <v>98</v>
      </c>
      <c r="H12" s="1" t="s">
        <v>86</v>
      </c>
      <c r="I12" s="1">
        <v>96</v>
      </c>
      <c r="J12" s="1" t="s">
        <v>92</v>
      </c>
      <c r="K12" s="1">
        <v>96.5</v>
      </c>
    </row>
    <row r="13" ht="15" customHeight="1" spans="1:11">
      <c r="A13" s="5" t="s">
        <v>82</v>
      </c>
      <c r="B13" s="8">
        <v>99.75</v>
      </c>
      <c r="C13" s="1"/>
      <c r="D13" s="6">
        <v>100.55</v>
      </c>
      <c r="E13" s="1"/>
      <c r="F13" s="7">
        <v>101.4</v>
      </c>
      <c r="G13" s="1"/>
      <c r="H13" s="6">
        <v>100.15</v>
      </c>
      <c r="I13" s="1"/>
      <c r="J13" s="6">
        <v>101</v>
      </c>
      <c r="K13" s="1"/>
    </row>
    <row r="14" ht="15" customHeight="1" spans="1:11">
      <c r="A14" s="4">
        <v>11</v>
      </c>
      <c r="B14" s="1" t="s">
        <v>138</v>
      </c>
      <c r="C14" s="1">
        <v>97</v>
      </c>
      <c r="D14" s="1" t="s">
        <v>104</v>
      </c>
      <c r="E14" s="1">
        <v>97</v>
      </c>
      <c r="F14" s="1" t="s">
        <v>120</v>
      </c>
      <c r="G14" s="1">
        <v>97</v>
      </c>
      <c r="H14" s="1" t="s">
        <v>111</v>
      </c>
      <c r="I14" s="1">
        <v>96</v>
      </c>
      <c r="J14" s="1" t="s">
        <v>97</v>
      </c>
      <c r="K14" s="1">
        <v>96.5</v>
      </c>
    </row>
    <row r="15" ht="15" customHeight="1" spans="1:11">
      <c r="A15" s="4">
        <v>12</v>
      </c>
      <c r="B15" s="1" t="s">
        <v>118</v>
      </c>
      <c r="C15" s="1">
        <v>96</v>
      </c>
      <c r="D15" s="1" t="s">
        <v>78</v>
      </c>
      <c r="E15" s="1">
        <v>96</v>
      </c>
      <c r="F15" s="1" t="s">
        <v>150</v>
      </c>
      <c r="G15" s="1">
        <v>97</v>
      </c>
      <c r="H15" s="1" t="s">
        <v>131</v>
      </c>
      <c r="I15" s="1">
        <v>96</v>
      </c>
      <c r="J15" s="1" t="s">
        <v>142</v>
      </c>
      <c r="K15" s="1">
        <v>96.5</v>
      </c>
    </row>
    <row r="16" ht="15" customHeight="1" spans="1:11">
      <c r="A16" s="4">
        <v>13</v>
      </c>
      <c r="B16" s="1" t="s">
        <v>77</v>
      </c>
      <c r="C16" s="1">
        <v>95.5</v>
      </c>
      <c r="D16" s="1" t="s">
        <v>94</v>
      </c>
      <c r="E16" s="1">
        <v>96</v>
      </c>
      <c r="F16" s="1" t="s">
        <v>155</v>
      </c>
      <c r="G16" s="1">
        <v>97</v>
      </c>
      <c r="H16" s="1" t="s">
        <v>96</v>
      </c>
      <c r="I16" s="1">
        <v>95.5</v>
      </c>
      <c r="J16" s="1" t="s">
        <v>132</v>
      </c>
      <c r="K16" s="1">
        <v>95.5</v>
      </c>
    </row>
    <row r="17" ht="15" customHeight="1" spans="1:11">
      <c r="A17" s="4">
        <v>14</v>
      </c>
      <c r="B17" s="1" t="s">
        <v>113</v>
      </c>
      <c r="C17" s="1">
        <v>95</v>
      </c>
      <c r="D17" s="1" t="s">
        <v>119</v>
      </c>
      <c r="E17" s="1">
        <v>96</v>
      </c>
      <c r="F17" s="1" t="s">
        <v>100</v>
      </c>
      <c r="G17" s="1">
        <v>96</v>
      </c>
      <c r="H17" s="1" t="s">
        <v>136</v>
      </c>
      <c r="I17" s="1">
        <v>95.5</v>
      </c>
      <c r="J17" s="1" t="s">
        <v>147</v>
      </c>
      <c r="K17" s="1">
        <v>95.5</v>
      </c>
    </row>
    <row r="18" ht="15" customHeight="1" spans="1:11">
      <c r="A18" s="4">
        <v>15</v>
      </c>
      <c r="B18" s="1" t="s">
        <v>153</v>
      </c>
      <c r="C18" s="1">
        <v>95</v>
      </c>
      <c r="D18" s="1" t="s">
        <v>154</v>
      </c>
      <c r="E18" s="1">
        <v>96</v>
      </c>
      <c r="F18" s="1" t="s">
        <v>165</v>
      </c>
      <c r="G18" s="1">
        <v>96</v>
      </c>
      <c r="H18" s="1" t="s">
        <v>101</v>
      </c>
      <c r="I18" s="1">
        <v>95</v>
      </c>
      <c r="J18" s="1" t="s">
        <v>117</v>
      </c>
      <c r="K18" s="1">
        <v>95</v>
      </c>
    </row>
    <row r="19" ht="15" customHeight="1" spans="1:11">
      <c r="A19" s="5" t="s">
        <v>82</v>
      </c>
      <c r="B19" s="8">
        <v>98.4</v>
      </c>
      <c r="C19" s="1"/>
      <c r="D19" s="6">
        <v>99.1</v>
      </c>
      <c r="E19" s="1"/>
      <c r="F19" s="7">
        <v>99.8</v>
      </c>
      <c r="G19" s="1"/>
      <c r="H19" s="6">
        <v>98.6333333333333</v>
      </c>
      <c r="I19" s="1"/>
      <c r="J19" s="6">
        <v>99.2666666666667</v>
      </c>
      <c r="K19" s="1"/>
    </row>
    <row r="20" ht="15" customHeight="1" spans="1:11">
      <c r="A20" s="4">
        <v>16</v>
      </c>
      <c r="B20" s="1" t="s">
        <v>168</v>
      </c>
      <c r="C20" s="1">
        <v>94.5</v>
      </c>
      <c r="D20" s="1" t="s">
        <v>159</v>
      </c>
      <c r="E20" s="1">
        <v>94.5</v>
      </c>
      <c r="F20" s="1" t="s">
        <v>170</v>
      </c>
      <c r="G20" s="1">
        <v>96</v>
      </c>
      <c r="H20" s="1" t="s">
        <v>211</v>
      </c>
      <c r="I20" s="1">
        <v>93</v>
      </c>
      <c r="J20" s="1" t="s">
        <v>187</v>
      </c>
      <c r="K20" s="1">
        <v>94.5</v>
      </c>
    </row>
    <row r="21" ht="15" customHeight="1" spans="1:11">
      <c r="A21" s="4">
        <v>17</v>
      </c>
      <c r="B21" s="1" t="s">
        <v>103</v>
      </c>
      <c r="C21" s="1">
        <v>94</v>
      </c>
      <c r="D21" s="1" t="s">
        <v>84</v>
      </c>
      <c r="E21" s="1">
        <v>92.5</v>
      </c>
      <c r="F21" s="1" t="s">
        <v>190</v>
      </c>
      <c r="G21" s="1">
        <v>96</v>
      </c>
      <c r="H21" s="1" t="s">
        <v>116</v>
      </c>
      <c r="I21" s="1">
        <v>92.5</v>
      </c>
      <c r="J21" s="1" t="s">
        <v>122</v>
      </c>
      <c r="K21" s="1">
        <v>93</v>
      </c>
    </row>
    <row r="22" ht="15" customHeight="1" spans="1:11">
      <c r="A22" s="4">
        <v>18</v>
      </c>
      <c r="B22" s="1" t="s">
        <v>128</v>
      </c>
      <c r="C22" s="1">
        <v>94</v>
      </c>
      <c r="D22" s="1" t="s">
        <v>139</v>
      </c>
      <c r="E22" s="1">
        <v>92</v>
      </c>
      <c r="F22" s="1" t="s">
        <v>110</v>
      </c>
      <c r="G22" s="1">
        <v>95</v>
      </c>
      <c r="H22" s="1" t="s">
        <v>106</v>
      </c>
      <c r="I22" s="1">
        <v>92</v>
      </c>
      <c r="J22" s="1" t="s">
        <v>222</v>
      </c>
      <c r="K22" s="1">
        <v>92</v>
      </c>
    </row>
    <row r="23" ht="15" customHeight="1" spans="1:11">
      <c r="A23" s="4">
        <v>19</v>
      </c>
      <c r="B23" s="1" t="s">
        <v>163</v>
      </c>
      <c r="C23" s="1">
        <v>94</v>
      </c>
      <c r="D23" s="1" t="s">
        <v>109</v>
      </c>
      <c r="E23" s="1">
        <v>91</v>
      </c>
      <c r="F23" s="1" t="s">
        <v>115</v>
      </c>
      <c r="G23" s="1">
        <v>94</v>
      </c>
      <c r="H23" s="1" t="s">
        <v>146</v>
      </c>
      <c r="I23" s="1">
        <v>92</v>
      </c>
      <c r="J23" s="1" t="s">
        <v>107</v>
      </c>
      <c r="K23" s="1">
        <v>91</v>
      </c>
    </row>
    <row r="24" ht="15" customHeight="1" spans="1:11">
      <c r="A24" s="4">
        <v>20</v>
      </c>
      <c r="B24" s="1" t="s">
        <v>108</v>
      </c>
      <c r="C24" s="1">
        <v>92.5</v>
      </c>
      <c r="D24" s="1" t="s">
        <v>174</v>
      </c>
      <c r="E24" s="1">
        <v>90.5</v>
      </c>
      <c r="F24" s="1" t="s">
        <v>180</v>
      </c>
      <c r="G24" s="1">
        <v>94</v>
      </c>
      <c r="H24" s="1" t="s">
        <v>141</v>
      </c>
      <c r="I24" s="1">
        <v>91.5</v>
      </c>
      <c r="J24" s="1" t="s">
        <v>162</v>
      </c>
      <c r="K24" s="1">
        <v>90</v>
      </c>
    </row>
    <row r="25" ht="15" customHeight="1" spans="1:11">
      <c r="A25" s="5" t="s">
        <v>82</v>
      </c>
      <c r="B25" s="6">
        <v>97.25</v>
      </c>
      <c r="C25" s="1"/>
      <c r="D25" s="6">
        <v>97.35</v>
      </c>
      <c r="E25" s="1"/>
      <c r="F25" s="7">
        <v>98.6</v>
      </c>
      <c r="G25" s="1"/>
      <c r="H25" s="8">
        <v>97.025</v>
      </c>
      <c r="I25" s="1"/>
      <c r="J25" s="6">
        <v>97.475</v>
      </c>
      <c r="K25" s="1"/>
    </row>
    <row r="26" ht="15" customHeight="1" spans="1:11">
      <c r="A26" s="4">
        <v>21</v>
      </c>
      <c r="B26" s="1" t="s">
        <v>173</v>
      </c>
      <c r="C26" s="1">
        <v>92.5</v>
      </c>
      <c r="D26" s="1" t="s">
        <v>124</v>
      </c>
      <c r="E26" s="1">
        <v>90</v>
      </c>
      <c r="F26" s="1" t="s">
        <v>125</v>
      </c>
      <c r="G26" s="1">
        <v>93.5</v>
      </c>
      <c r="H26" s="1" t="s">
        <v>181</v>
      </c>
      <c r="I26" s="1">
        <v>91.5</v>
      </c>
      <c r="J26" s="1" t="s">
        <v>102</v>
      </c>
      <c r="K26" s="1">
        <v>89.5</v>
      </c>
    </row>
    <row r="27" ht="15" customHeight="1" spans="1:11">
      <c r="A27" s="4">
        <v>22</v>
      </c>
      <c r="B27" s="1" t="s">
        <v>93</v>
      </c>
      <c r="C27" s="1">
        <v>92</v>
      </c>
      <c r="D27" s="1" t="s">
        <v>179</v>
      </c>
      <c r="E27" s="1">
        <v>89.5</v>
      </c>
      <c r="F27" s="1" t="s">
        <v>200</v>
      </c>
      <c r="G27" s="1">
        <v>93.5</v>
      </c>
      <c r="H27" s="1" t="s">
        <v>206</v>
      </c>
      <c r="I27" s="1">
        <v>91.5</v>
      </c>
      <c r="J27" s="1" t="s">
        <v>127</v>
      </c>
      <c r="K27" s="1">
        <v>89.5</v>
      </c>
    </row>
    <row r="28" ht="15" customHeight="1" spans="1:11">
      <c r="A28" s="4">
        <v>23</v>
      </c>
      <c r="B28" s="1" t="s">
        <v>188</v>
      </c>
      <c r="C28" s="1">
        <v>92</v>
      </c>
      <c r="D28" s="1" t="s">
        <v>219</v>
      </c>
      <c r="E28" s="1">
        <v>89</v>
      </c>
      <c r="F28" s="1" t="s">
        <v>145</v>
      </c>
      <c r="G28" s="1">
        <v>93</v>
      </c>
      <c r="H28" s="1" t="s">
        <v>161</v>
      </c>
      <c r="I28" s="1">
        <v>90.5</v>
      </c>
      <c r="J28" s="1" t="s">
        <v>197</v>
      </c>
      <c r="K28" s="1">
        <v>89.5</v>
      </c>
    </row>
    <row r="29" ht="15" customHeight="1" spans="1:11">
      <c r="A29" s="4">
        <v>24</v>
      </c>
      <c r="B29" s="1" t="s">
        <v>148</v>
      </c>
      <c r="C29" s="1">
        <v>91</v>
      </c>
      <c r="D29" s="1" t="s">
        <v>229</v>
      </c>
      <c r="E29" s="1">
        <v>89</v>
      </c>
      <c r="F29" s="1" t="s">
        <v>220</v>
      </c>
      <c r="G29" s="1">
        <v>92.5</v>
      </c>
      <c r="H29" s="1" t="s">
        <v>171</v>
      </c>
      <c r="I29" s="1">
        <v>90</v>
      </c>
      <c r="J29" s="1" t="s">
        <v>247</v>
      </c>
      <c r="K29" s="1">
        <v>89.5</v>
      </c>
    </row>
    <row r="30" ht="15" customHeight="1" spans="1:11">
      <c r="A30" s="4">
        <v>25</v>
      </c>
      <c r="B30" s="1" t="s">
        <v>213</v>
      </c>
      <c r="C30" s="1">
        <v>90.5</v>
      </c>
      <c r="D30" s="1" t="s">
        <v>194</v>
      </c>
      <c r="E30" s="1">
        <v>88.5</v>
      </c>
      <c r="F30" s="1" t="s">
        <v>140</v>
      </c>
      <c r="G30" s="1">
        <v>92</v>
      </c>
      <c r="H30" s="1" t="s">
        <v>176</v>
      </c>
      <c r="I30" s="1">
        <v>89.5</v>
      </c>
      <c r="J30" s="1" t="s">
        <v>172</v>
      </c>
      <c r="K30" s="1">
        <v>89</v>
      </c>
    </row>
    <row r="31" ht="15" customHeight="1" spans="1:11">
      <c r="A31" s="5" t="s">
        <v>82</v>
      </c>
      <c r="B31" s="6">
        <v>96.12</v>
      </c>
      <c r="C31" s="1"/>
      <c r="D31" s="8">
        <v>95.72</v>
      </c>
      <c r="E31" s="1"/>
      <c r="F31" s="7">
        <v>97.46</v>
      </c>
      <c r="G31" s="1"/>
      <c r="H31" s="6">
        <v>95.74</v>
      </c>
      <c r="I31" s="1"/>
      <c r="J31" s="6">
        <v>95.86</v>
      </c>
      <c r="K31" s="1"/>
    </row>
    <row r="32" ht="15" customHeight="1" spans="1:11">
      <c r="A32" s="4">
        <v>26</v>
      </c>
      <c r="B32" s="1" t="s">
        <v>133</v>
      </c>
      <c r="C32" s="1">
        <v>89.5</v>
      </c>
      <c r="D32" s="1" t="s">
        <v>149</v>
      </c>
      <c r="E32" s="1">
        <v>86.5</v>
      </c>
      <c r="F32" s="1" t="s">
        <v>135</v>
      </c>
      <c r="G32" s="1">
        <v>91.5</v>
      </c>
      <c r="H32" s="1" t="s">
        <v>151</v>
      </c>
      <c r="I32" s="1">
        <v>89</v>
      </c>
      <c r="J32" s="1" t="s">
        <v>207</v>
      </c>
      <c r="K32" s="1">
        <v>89</v>
      </c>
    </row>
    <row r="33" ht="15" customHeight="1" spans="1:11">
      <c r="A33" s="4">
        <v>27</v>
      </c>
      <c r="B33" s="1" t="s">
        <v>218</v>
      </c>
      <c r="C33" s="1">
        <v>89</v>
      </c>
      <c r="D33" s="1" t="s">
        <v>209</v>
      </c>
      <c r="E33" s="1">
        <v>86.5</v>
      </c>
      <c r="F33" s="1" t="s">
        <v>175</v>
      </c>
      <c r="G33" s="1">
        <v>91.5</v>
      </c>
      <c r="H33" s="1" t="s">
        <v>186</v>
      </c>
      <c r="I33" s="1">
        <v>89</v>
      </c>
      <c r="J33" s="1" t="s">
        <v>137</v>
      </c>
      <c r="K33" s="1">
        <v>88</v>
      </c>
    </row>
    <row r="34" ht="15" customHeight="1" spans="1:11">
      <c r="A34" s="4">
        <v>28</v>
      </c>
      <c r="B34" s="1" t="s">
        <v>198</v>
      </c>
      <c r="C34" s="1">
        <v>88.5</v>
      </c>
      <c r="D34" s="1" t="s">
        <v>244</v>
      </c>
      <c r="E34" s="1">
        <v>86</v>
      </c>
      <c r="F34" s="1" t="s">
        <v>160</v>
      </c>
      <c r="G34" s="1">
        <v>91</v>
      </c>
      <c r="H34" s="1" t="s">
        <v>191</v>
      </c>
      <c r="I34" s="1">
        <v>89</v>
      </c>
      <c r="J34" s="1" t="s">
        <v>227</v>
      </c>
      <c r="K34" s="1">
        <v>87.5</v>
      </c>
    </row>
    <row r="35" ht="15" customHeight="1" spans="1:11">
      <c r="A35" s="4">
        <v>29</v>
      </c>
      <c r="B35" s="1" t="s">
        <v>158</v>
      </c>
      <c r="C35" s="1">
        <v>87</v>
      </c>
      <c r="D35" s="1" t="s">
        <v>169</v>
      </c>
      <c r="E35" s="1">
        <v>84.5</v>
      </c>
      <c r="F35" s="1" t="s">
        <v>240</v>
      </c>
      <c r="G35" s="1">
        <v>89.5</v>
      </c>
      <c r="H35" s="1" t="s">
        <v>251</v>
      </c>
      <c r="I35" s="1">
        <v>88</v>
      </c>
      <c r="J35" s="1" t="s">
        <v>112</v>
      </c>
      <c r="K35" s="1">
        <v>87</v>
      </c>
    </row>
    <row r="36" ht="15" customHeight="1" spans="1:11">
      <c r="A36" s="4">
        <v>30</v>
      </c>
      <c r="B36" s="1" t="s">
        <v>123</v>
      </c>
      <c r="C36" s="1">
        <v>86</v>
      </c>
      <c r="D36" s="1" t="s">
        <v>239</v>
      </c>
      <c r="E36" s="1">
        <v>84.5</v>
      </c>
      <c r="F36" s="1" t="s">
        <v>185</v>
      </c>
      <c r="G36" s="1">
        <v>88.5</v>
      </c>
      <c r="H36" s="1" t="s">
        <v>156</v>
      </c>
      <c r="I36" s="1">
        <v>87.5</v>
      </c>
      <c r="J36" s="1" t="s">
        <v>217</v>
      </c>
      <c r="K36" s="1">
        <v>86.5</v>
      </c>
    </row>
    <row r="37" ht="15" customHeight="1" spans="1:11">
      <c r="A37" s="5" t="s">
        <v>82</v>
      </c>
      <c r="B37" s="6">
        <v>94.7666666666667</v>
      </c>
      <c r="C37" s="1"/>
      <c r="D37" s="8">
        <v>94.0333333333333</v>
      </c>
      <c r="E37" s="1"/>
      <c r="F37" s="7">
        <v>96.2833333333333</v>
      </c>
      <c r="G37" s="1"/>
      <c r="H37" s="6">
        <v>94.5333333333333</v>
      </c>
      <c r="I37" s="1"/>
      <c r="J37" s="6">
        <v>94.4833333333333</v>
      </c>
      <c r="K37" s="1"/>
    </row>
    <row r="38" ht="15" customHeight="1" spans="1:11">
      <c r="A38" s="4">
        <v>31</v>
      </c>
      <c r="B38" s="1" t="s">
        <v>183</v>
      </c>
      <c r="C38" s="1">
        <v>86</v>
      </c>
      <c r="D38" s="1" t="s">
        <v>254</v>
      </c>
      <c r="E38" s="1">
        <v>83</v>
      </c>
      <c r="F38" s="1" t="s">
        <v>230</v>
      </c>
      <c r="G38" s="1">
        <v>88.5</v>
      </c>
      <c r="H38" s="1" t="s">
        <v>196</v>
      </c>
      <c r="I38" s="1">
        <v>87.5</v>
      </c>
      <c r="J38" s="1" t="s">
        <v>262</v>
      </c>
      <c r="K38" s="1">
        <v>85</v>
      </c>
    </row>
    <row r="39" ht="15" customHeight="1" spans="1:11">
      <c r="A39" s="4">
        <v>32</v>
      </c>
      <c r="B39" s="1" t="s">
        <v>243</v>
      </c>
      <c r="C39" s="1">
        <v>86</v>
      </c>
      <c r="D39" s="1" t="s">
        <v>204</v>
      </c>
      <c r="E39" s="1">
        <v>82</v>
      </c>
      <c r="F39" s="1" t="s">
        <v>205</v>
      </c>
      <c r="G39" s="1">
        <v>88</v>
      </c>
      <c r="H39" s="1" t="s">
        <v>226</v>
      </c>
      <c r="I39" s="1">
        <v>85</v>
      </c>
      <c r="J39" s="1" t="s">
        <v>192</v>
      </c>
      <c r="K39" s="1">
        <v>84.5</v>
      </c>
    </row>
    <row r="40" ht="15" customHeight="1" spans="1:11">
      <c r="A40" s="4">
        <v>33</v>
      </c>
      <c r="B40" s="1" t="s">
        <v>233</v>
      </c>
      <c r="C40" s="1">
        <v>82.5</v>
      </c>
      <c r="D40" s="1" t="s">
        <v>184</v>
      </c>
      <c r="E40" s="1">
        <v>81.5</v>
      </c>
      <c r="F40" s="1" t="s">
        <v>210</v>
      </c>
      <c r="G40" s="1">
        <v>87.5</v>
      </c>
      <c r="H40" s="1" t="s">
        <v>231</v>
      </c>
      <c r="I40" s="1">
        <v>84</v>
      </c>
      <c r="J40" s="1" t="s">
        <v>182</v>
      </c>
      <c r="K40" s="1">
        <v>83</v>
      </c>
    </row>
    <row r="41" ht="15" customHeight="1" spans="1:11">
      <c r="A41" s="4">
        <v>34</v>
      </c>
      <c r="B41" s="1" t="s">
        <v>248</v>
      </c>
      <c r="C41" s="1">
        <v>82.5</v>
      </c>
      <c r="D41" s="1" t="s">
        <v>214</v>
      </c>
      <c r="E41" s="1">
        <v>81.5</v>
      </c>
      <c r="F41" s="1" t="s">
        <v>235</v>
      </c>
      <c r="G41" s="1">
        <v>86.5</v>
      </c>
      <c r="H41" s="1" t="s">
        <v>241</v>
      </c>
      <c r="I41" s="1">
        <v>83.5</v>
      </c>
      <c r="J41" s="1" t="s">
        <v>252</v>
      </c>
      <c r="K41" s="1">
        <v>82</v>
      </c>
    </row>
    <row r="42" ht="15" customHeight="1" spans="1:11">
      <c r="A42" s="4">
        <v>35</v>
      </c>
      <c r="B42" s="1" t="s">
        <v>208</v>
      </c>
      <c r="C42" s="1">
        <v>82</v>
      </c>
      <c r="D42" s="1" t="s">
        <v>249</v>
      </c>
      <c r="E42" s="1">
        <v>79</v>
      </c>
      <c r="F42" s="1" t="s">
        <v>195</v>
      </c>
      <c r="G42" s="1">
        <v>85.5</v>
      </c>
      <c r="H42" s="1" t="s">
        <v>216</v>
      </c>
      <c r="I42" s="1">
        <v>81</v>
      </c>
      <c r="J42" s="1" t="s">
        <v>202</v>
      </c>
      <c r="K42" s="1">
        <v>81</v>
      </c>
    </row>
    <row r="43" ht="15" customHeight="1" spans="1:11">
      <c r="A43" s="5" t="s">
        <v>82</v>
      </c>
      <c r="B43" s="6">
        <v>93.2</v>
      </c>
      <c r="C43" s="1"/>
      <c r="D43" s="8">
        <v>92.2285714285714</v>
      </c>
      <c r="E43" s="1"/>
      <c r="F43" s="7">
        <v>94.9857142857143</v>
      </c>
      <c r="G43" s="1"/>
      <c r="H43" s="6">
        <v>93.0571428571429</v>
      </c>
      <c r="I43" s="1"/>
      <c r="J43" s="6">
        <v>92.8571428571429</v>
      </c>
      <c r="K43" s="1"/>
    </row>
    <row r="44" ht="15" customHeight="1" spans="1:11">
      <c r="A44" s="4">
        <v>36</v>
      </c>
      <c r="B44" s="1" t="s">
        <v>228</v>
      </c>
      <c r="C44" s="1">
        <v>82</v>
      </c>
      <c r="D44" s="1" t="s">
        <v>234</v>
      </c>
      <c r="E44" s="1">
        <v>77.5</v>
      </c>
      <c r="F44" s="1" t="s">
        <v>255</v>
      </c>
      <c r="G44" s="1">
        <v>83.5</v>
      </c>
      <c r="H44" s="1" t="s">
        <v>261</v>
      </c>
      <c r="I44" s="1">
        <v>81</v>
      </c>
      <c r="J44" s="1" t="s">
        <v>177</v>
      </c>
      <c r="K44" s="1">
        <v>80</v>
      </c>
    </row>
    <row r="45" ht="15" customHeight="1" spans="1:11">
      <c r="A45" s="4">
        <v>37</v>
      </c>
      <c r="B45" s="1" t="s">
        <v>223</v>
      </c>
      <c r="C45" s="1">
        <v>81.5</v>
      </c>
      <c r="D45" s="1" t="s">
        <v>259</v>
      </c>
      <c r="E45" s="1">
        <v>77.5</v>
      </c>
      <c r="F45" s="1" t="s">
        <v>260</v>
      </c>
      <c r="G45" s="1">
        <v>83.5</v>
      </c>
      <c r="H45" s="1" t="s">
        <v>201</v>
      </c>
      <c r="I45" s="1">
        <v>80</v>
      </c>
      <c r="J45" s="1" t="s">
        <v>212</v>
      </c>
      <c r="K45" s="1">
        <v>79</v>
      </c>
    </row>
    <row r="46" ht="15" customHeight="1" spans="1:11">
      <c r="A46" s="4">
        <v>38</v>
      </c>
      <c r="B46" s="1" t="s">
        <v>238</v>
      </c>
      <c r="C46" s="1">
        <v>81.5</v>
      </c>
      <c r="D46" s="1" t="s">
        <v>189</v>
      </c>
      <c r="E46" s="1">
        <v>76.5</v>
      </c>
      <c r="F46" s="1" t="s">
        <v>270</v>
      </c>
      <c r="G46" s="1">
        <v>83.5</v>
      </c>
      <c r="H46" s="1" t="s">
        <v>236</v>
      </c>
      <c r="I46" s="1">
        <v>79</v>
      </c>
      <c r="J46" s="1" t="s">
        <v>237</v>
      </c>
      <c r="K46" s="1">
        <v>75.5</v>
      </c>
    </row>
    <row r="47" ht="15" customHeight="1" spans="1:11">
      <c r="A47" s="4">
        <v>39</v>
      </c>
      <c r="B47" s="1" t="s">
        <v>203</v>
      </c>
      <c r="C47" s="1">
        <v>79.5</v>
      </c>
      <c r="D47" s="1" t="s">
        <v>224</v>
      </c>
      <c r="E47" s="1">
        <v>74.5</v>
      </c>
      <c r="F47" s="1" t="s">
        <v>245</v>
      </c>
      <c r="G47" s="1">
        <v>83</v>
      </c>
      <c r="H47" s="1" t="s">
        <v>271</v>
      </c>
      <c r="I47" s="1">
        <v>78.5</v>
      </c>
      <c r="J47" s="1" t="s">
        <v>232</v>
      </c>
      <c r="K47" s="1">
        <v>73.5</v>
      </c>
    </row>
    <row r="48" ht="15" customHeight="1" spans="1:11">
      <c r="A48" s="4">
        <v>40</v>
      </c>
      <c r="B48" s="1" t="s">
        <v>263</v>
      </c>
      <c r="C48" s="1">
        <v>78</v>
      </c>
      <c r="D48" s="1" t="s">
        <v>164</v>
      </c>
      <c r="E48" s="1">
        <v>74</v>
      </c>
      <c r="F48" s="1" t="s">
        <v>250</v>
      </c>
      <c r="G48" s="1">
        <v>83</v>
      </c>
      <c r="H48" s="1" t="s">
        <v>221</v>
      </c>
      <c r="I48" s="1">
        <v>76.5</v>
      </c>
      <c r="J48" s="1" t="s">
        <v>257</v>
      </c>
      <c r="K48" s="1">
        <v>70.5</v>
      </c>
    </row>
    <row r="49" ht="15" customHeight="1" spans="1:11">
      <c r="A49" s="5" t="s">
        <v>82</v>
      </c>
      <c r="B49" s="6">
        <v>91.6125</v>
      </c>
      <c r="C49" s="1"/>
      <c r="D49" s="8">
        <v>90.2</v>
      </c>
      <c r="E49" s="1"/>
      <c r="F49" s="7">
        <v>93.525</v>
      </c>
      <c r="G49" s="1"/>
      <c r="H49" s="6">
        <v>91.3</v>
      </c>
      <c r="I49" s="1"/>
      <c r="J49" s="6">
        <v>90.7125</v>
      </c>
      <c r="K49" s="1"/>
    </row>
    <row r="50" ht="15" customHeight="1" spans="1:11">
      <c r="A50" s="4">
        <v>41</v>
      </c>
      <c r="B50" s="1" t="s">
        <v>258</v>
      </c>
      <c r="C50" s="1">
        <v>77.5</v>
      </c>
      <c r="D50" s="1" t="s">
        <v>274</v>
      </c>
      <c r="E50" s="1">
        <v>74</v>
      </c>
      <c r="F50" s="1" t="s">
        <v>215</v>
      </c>
      <c r="G50" s="1">
        <v>81.5</v>
      </c>
      <c r="H50" s="1" t="s">
        <v>266</v>
      </c>
      <c r="I50" s="1">
        <v>76</v>
      </c>
      <c r="J50" s="1" t="s">
        <v>277</v>
      </c>
      <c r="K50" s="1">
        <v>65.5</v>
      </c>
    </row>
    <row r="51" ht="15" customHeight="1" spans="1:11">
      <c r="A51" s="4">
        <v>42</v>
      </c>
      <c r="B51" s="1" t="s">
        <v>253</v>
      </c>
      <c r="C51" s="1">
        <v>77</v>
      </c>
      <c r="D51" s="1" t="s">
        <v>199</v>
      </c>
      <c r="E51" s="1">
        <v>68.5</v>
      </c>
      <c r="F51" s="1" t="s">
        <v>225</v>
      </c>
      <c r="G51" s="1">
        <v>80.5</v>
      </c>
      <c r="H51" s="1" t="s">
        <v>246</v>
      </c>
      <c r="I51" s="1">
        <v>75.5</v>
      </c>
      <c r="J51" s="1" t="s">
        <v>242</v>
      </c>
      <c r="K51" s="1">
        <v>62</v>
      </c>
    </row>
    <row r="52" ht="15" customHeight="1" spans="1:11">
      <c r="A52" s="4">
        <v>43</v>
      </c>
      <c r="B52" s="1" t="s">
        <v>273</v>
      </c>
      <c r="C52" s="1">
        <v>73</v>
      </c>
      <c r="D52" s="1" t="s">
        <v>264</v>
      </c>
      <c r="E52" s="1">
        <v>63.5</v>
      </c>
      <c r="F52" s="1" t="s">
        <v>265</v>
      </c>
      <c r="G52" s="1">
        <v>78</v>
      </c>
      <c r="H52" s="1" t="s">
        <v>276</v>
      </c>
      <c r="I52" s="1">
        <v>72</v>
      </c>
      <c r="J52" s="1" t="s">
        <v>272</v>
      </c>
      <c r="K52" s="1">
        <v>60</v>
      </c>
    </row>
    <row r="53" ht="15" customHeight="1" spans="1:11">
      <c r="A53" s="4">
        <v>44</v>
      </c>
      <c r="B53" s="1" t="s">
        <v>268</v>
      </c>
      <c r="C53" s="1">
        <v>62</v>
      </c>
      <c r="D53" s="1" t="s">
        <v>269</v>
      </c>
      <c r="E53" s="1">
        <v>56.5</v>
      </c>
      <c r="F53" s="1" t="s">
        <v>275</v>
      </c>
      <c r="G53" s="1">
        <v>71.5</v>
      </c>
      <c r="H53" s="1" t="s">
        <v>256</v>
      </c>
      <c r="I53" s="1">
        <v>67</v>
      </c>
      <c r="J53" s="1" t="s">
        <v>267</v>
      </c>
      <c r="K53" s="1">
        <v>54.5</v>
      </c>
    </row>
    <row r="54" ht="15" customHeight="1" spans="1:11">
      <c r="A54" s="4">
        <v>45</v>
      </c>
      <c r="B54" s="1" t="s">
        <v>278</v>
      </c>
      <c r="C54" s="1">
        <v>36.5</v>
      </c>
      <c r="D54" s="1" t="s">
        <v>279</v>
      </c>
      <c r="E54" s="1">
        <v>52.5</v>
      </c>
      <c r="F54" s="1" t="s">
        <v>280</v>
      </c>
      <c r="G54" s="1">
        <v>68.5</v>
      </c>
      <c r="H54" s="1" t="s">
        <v>281</v>
      </c>
      <c r="I54" s="1">
        <v>44</v>
      </c>
      <c r="J54" s="1"/>
      <c r="K54" s="1"/>
    </row>
    <row r="55" ht="15" customHeight="1" spans="1:11">
      <c r="A55" s="5" t="s">
        <v>82</v>
      </c>
      <c r="B55" s="6">
        <v>88.6777777777778</v>
      </c>
      <c r="C55" s="1"/>
      <c r="D55" s="8">
        <v>87.1777777777778</v>
      </c>
      <c r="E55" s="1"/>
      <c r="F55" s="7">
        <v>91.5777777777778</v>
      </c>
      <c r="G55" s="1"/>
      <c r="H55" s="6">
        <v>88.5888888888889</v>
      </c>
      <c r="I55" s="1"/>
      <c r="J55" s="6">
        <v>87.9659090909091</v>
      </c>
      <c r="K55" s="1"/>
    </row>
    <row r="56" ht="15" customHeight="1" spans="1:11">
      <c r="A56" s="4">
        <v>46</v>
      </c>
      <c r="B56" s="1"/>
      <c r="C56" s="1"/>
      <c r="D56" s="1"/>
      <c r="E56" s="1"/>
      <c r="F56" s="1" t="s">
        <v>282</v>
      </c>
      <c r="G56" s="1">
        <v>64.5</v>
      </c>
      <c r="H56" s="1" t="s">
        <v>283</v>
      </c>
      <c r="I56" s="1">
        <v>38.5</v>
      </c>
      <c r="J56" s="1"/>
      <c r="K56" s="1"/>
    </row>
    <row r="57" ht="15" customHeight="1" spans="1:11">
      <c r="A57" s="4">
        <v>47</v>
      </c>
      <c r="B57" s="1"/>
      <c r="C57" s="1"/>
      <c r="D57" s="1"/>
      <c r="E57" s="1"/>
      <c r="F57" s="1" t="s">
        <v>284</v>
      </c>
      <c r="G57" s="1">
        <v>63</v>
      </c>
      <c r="H57" s="1"/>
      <c r="I57" s="1"/>
      <c r="J57" s="1"/>
      <c r="K57" s="1"/>
    </row>
    <row r="58" ht="15" customHeight="1" spans="1:11">
      <c r="A58" s="4">
        <v>48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" customHeight="1" spans="1:11">
      <c r="A59" s="4">
        <v>49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" customHeight="1" spans="1:11">
      <c r="A60" s="4">
        <v>50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" customHeight="1" spans="1:11">
      <c r="A61" s="5" t="s">
        <v>82</v>
      </c>
      <c r="B61" s="6">
        <v>88.6777777777778</v>
      </c>
      <c r="C61" s="1"/>
      <c r="D61" s="8">
        <v>87.1777777777778</v>
      </c>
      <c r="E61" s="1"/>
      <c r="F61" s="7">
        <v>90.3936170212766</v>
      </c>
      <c r="G61" s="1"/>
      <c r="H61" s="6">
        <v>87.5</v>
      </c>
      <c r="I61" s="1"/>
      <c r="J61" s="6">
        <v>87.9659090909091</v>
      </c>
      <c r="K61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showGridLines="0" workbookViewId="0">
      <selection activeCell="A1" sqref="A1"/>
    </sheetView>
  </sheetViews>
  <sheetFormatPr defaultColWidth="9" defaultRowHeight="13.5"/>
  <sheetData>
    <row r="1" ht="15" customHeight="1" spans="1:11">
      <c r="A1" s="4" t="s">
        <v>50</v>
      </c>
      <c r="B1" s="4" t="s">
        <v>51</v>
      </c>
      <c r="C1" s="4" t="s">
        <v>17</v>
      </c>
      <c r="D1" s="4" t="s">
        <v>53</v>
      </c>
      <c r="E1" s="4" t="s">
        <v>17</v>
      </c>
      <c r="F1" s="4" t="s">
        <v>54</v>
      </c>
      <c r="G1" s="4" t="s">
        <v>17</v>
      </c>
      <c r="H1" s="4" t="s">
        <v>55</v>
      </c>
      <c r="I1" s="4" t="s">
        <v>17</v>
      </c>
      <c r="J1" s="4" t="s">
        <v>56</v>
      </c>
      <c r="K1" s="4" t="s">
        <v>17</v>
      </c>
    </row>
    <row r="2" ht="15" customHeight="1" spans="1:11">
      <c r="A2" s="4">
        <v>1</v>
      </c>
      <c r="B2" s="1" t="s">
        <v>72</v>
      </c>
      <c r="C2" s="1">
        <v>93</v>
      </c>
      <c r="D2" s="1" t="s">
        <v>84</v>
      </c>
      <c r="E2" s="1">
        <v>91</v>
      </c>
      <c r="F2" s="1" t="s">
        <v>140</v>
      </c>
      <c r="G2" s="1">
        <v>92</v>
      </c>
      <c r="H2" s="1" t="s">
        <v>60</v>
      </c>
      <c r="I2" s="1">
        <v>96</v>
      </c>
      <c r="J2" s="1" t="s">
        <v>61</v>
      </c>
      <c r="K2" s="1">
        <v>97</v>
      </c>
    </row>
    <row r="3" ht="15" customHeight="1" spans="1:11">
      <c r="A3" s="4">
        <v>2</v>
      </c>
      <c r="B3" s="1" t="s">
        <v>77</v>
      </c>
      <c r="C3" s="1">
        <v>91</v>
      </c>
      <c r="D3" s="1" t="s">
        <v>58</v>
      </c>
      <c r="E3" s="1">
        <v>90</v>
      </c>
      <c r="F3" s="1" t="s">
        <v>69</v>
      </c>
      <c r="G3" s="1">
        <v>91</v>
      </c>
      <c r="H3" s="1" t="s">
        <v>70</v>
      </c>
      <c r="I3" s="1">
        <v>94</v>
      </c>
      <c r="J3" s="1" t="s">
        <v>87</v>
      </c>
      <c r="K3" s="1">
        <v>94</v>
      </c>
    </row>
    <row r="4" ht="15" customHeight="1" spans="1:11">
      <c r="A4" s="4">
        <v>3</v>
      </c>
      <c r="B4" s="1" t="s">
        <v>128</v>
      </c>
      <c r="C4" s="1">
        <v>91</v>
      </c>
      <c r="D4" s="1" t="s">
        <v>78</v>
      </c>
      <c r="E4" s="1">
        <v>89</v>
      </c>
      <c r="F4" s="1" t="s">
        <v>64</v>
      </c>
      <c r="G4" s="1">
        <v>90</v>
      </c>
      <c r="H4" s="1" t="s">
        <v>80</v>
      </c>
      <c r="I4" s="1">
        <v>92</v>
      </c>
      <c r="J4" s="1" t="s">
        <v>102</v>
      </c>
      <c r="K4" s="1">
        <v>93</v>
      </c>
    </row>
    <row r="5" ht="15" customHeight="1" spans="1:11">
      <c r="A5" s="4">
        <v>4</v>
      </c>
      <c r="B5" s="1" t="s">
        <v>108</v>
      </c>
      <c r="C5" s="1">
        <v>90</v>
      </c>
      <c r="D5" s="1" t="s">
        <v>89</v>
      </c>
      <c r="E5" s="1">
        <v>89</v>
      </c>
      <c r="F5" s="1" t="s">
        <v>59</v>
      </c>
      <c r="G5" s="1">
        <v>89</v>
      </c>
      <c r="H5" s="1" t="s">
        <v>111</v>
      </c>
      <c r="I5" s="1">
        <v>92</v>
      </c>
      <c r="J5" s="1" t="s">
        <v>66</v>
      </c>
      <c r="K5" s="1">
        <v>91</v>
      </c>
    </row>
    <row r="6" ht="15" customHeight="1" spans="1:11">
      <c r="A6" s="4">
        <v>5</v>
      </c>
      <c r="B6" s="1" t="s">
        <v>62</v>
      </c>
      <c r="C6" s="1">
        <v>89</v>
      </c>
      <c r="D6" s="1" t="s">
        <v>94</v>
      </c>
      <c r="E6" s="1">
        <v>89</v>
      </c>
      <c r="F6" s="1" t="s">
        <v>85</v>
      </c>
      <c r="G6" s="1">
        <v>89</v>
      </c>
      <c r="H6" s="1" t="s">
        <v>65</v>
      </c>
      <c r="I6" s="1">
        <v>91</v>
      </c>
      <c r="J6" s="1" t="s">
        <v>76</v>
      </c>
      <c r="K6" s="1">
        <v>90</v>
      </c>
    </row>
    <row r="7" ht="15" customHeight="1" spans="1:11">
      <c r="A7" s="5" t="s">
        <v>82</v>
      </c>
      <c r="B7" s="6">
        <v>90.8</v>
      </c>
      <c r="C7" s="1"/>
      <c r="D7" s="8">
        <v>89.6</v>
      </c>
      <c r="E7" s="1"/>
      <c r="F7" s="6">
        <v>90.2</v>
      </c>
      <c r="G7" s="1"/>
      <c r="H7" s="7">
        <v>93</v>
      </c>
      <c r="I7" s="1"/>
      <c r="J7" s="6">
        <v>93</v>
      </c>
      <c r="K7" s="1"/>
    </row>
    <row r="8" ht="15" customHeight="1" spans="1:11">
      <c r="A8" s="4">
        <v>6</v>
      </c>
      <c r="B8" s="1" t="s">
        <v>93</v>
      </c>
      <c r="C8" s="1">
        <v>89</v>
      </c>
      <c r="D8" s="1" t="s">
        <v>73</v>
      </c>
      <c r="E8" s="1">
        <v>88</v>
      </c>
      <c r="F8" s="1" t="s">
        <v>90</v>
      </c>
      <c r="G8" s="1">
        <v>88</v>
      </c>
      <c r="H8" s="1" t="s">
        <v>75</v>
      </c>
      <c r="I8" s="1">
        <v>90</v>
      </c>
      <c r="J8" s="1" t="s">
        <v>92</v>
      </c>
      <c r="K8" s="1">
        <v>89</v>
      </c>
    </row>
    <row r="9" ht="15" customHeight="1" spans="1:11">
      <c r="A9" s="4">
        <v>7</v>
      </c>
      <c r="B9" s="1" t="s">
        <v>57</v>
      </c>
      <c r="C9" s="1">
        <v>87</v>
      </c>
      <c r="D9" s="1" t="s">
        <v>189</v>
      </c>
      <c r="E9" s="1">
        <v>87</v>
      </c>
      <c r="F9" s="1" t="s">
        <v>155</v>
      </c>
      <c r="G9" s="1">
        <v>88</v>
      </c>
      <c r="H9" s="1" t="s">
        <v>86</v>
      </c>
      <c r="I9" s="1">
        <v>90</v>
      </c>
      <c r="J9" s="1" t="s">
        <v>157</v>
      </c>
      <c r="K9" s="1">
        <v>89</v>
      </c>
    </row>
    <row r="10" ht="15" customHeight="1" spans="1:11">
      <c r="A10" s="4">
        <v>8</v>
      </c>
      <c r="B10" s="1" t="s">
        <v>98</v>
      </c>
      <c r="C10" s="1">
        <v>87</v>
      </c>
      <c r="D10" s="1" t="s">
        <v>124</v>
      </c>
      <c r="E10" s="1">
        <v>86</v>
      </c>
      <c r="F10" s="1" t="s">
        <v>105</v>
      </c>
      <c r="G10" s="1">
        <v>87</v>
      </c>
      <c r="H10" s="1" t="s">
        <v>101</v>
      </c>
      <c r="I10" s="1">
        <v>90</v>
      </c>
      <c r="J10" s="1" t="s">
        <v>137</v>
      </c>
      <c r="K10" s="1">
        <v>88</v>
      </c>
    </row>
    <row r="11" ht="15" customHeight="1" spans="1:11">
      <c r="A11" s="4">
        <v>9</v>
      </c>
      <c r="B11" s="1" t="s">
        <v>103</v>
      </c>
      <c r="C11" s="1">
        <v>87</v>
      </c>
      <c r="D11" s="1" t="s">
        <v>209</v>
      </c>
      <c r="E11" s="1">
        <v>86</v>
      </c>
      <c r="F11" s="1" t="s">
        <v>115</v>
      </c>
      <c r="G11" s="1">
        <v>87</v>
      </c>
      <c r="H11" s="1" t="s">
        <v>96</v>
      </c>
      <c r="I11" s="1">
        <v>89</v>
      </c>
      <c r="J11" s="1" t="s">
        <v>71</v>
      </c>
      <c r="K11" s="1">
        <v>87</v>
      </c>
    </row>
    <row r="12" ht="15" customHeight="1" spans="1:11">
      <c r="A12" s="4">
        <v>10</v>
      </c>
      <c r="B12" s="1" t="s">
        <v>208</v>
      </c>
      <c r="C12" s="1">
        <v>87</v>
      </c>
      <c r="D12" s="1" t="s">
        <v>229</v>
      </c>
      <c r="E12" s="1">
        <v>86</v>
      </c>
      <c r="F12" s="1" t="s">
        <v>74</v>
      </c>
      <c r="G12" s="1">
        <v>86</v>
      </c>
      <c r="H12" s="1" t="s">
        <v>106</v>
      </c>
      <c r="I12" s="1">
        <v>87</v>
      </c>
      <c r="J12" s="1" t="s">
        <v>81</v>
      </c>
      <c r="K12" s="1">
        <v>87</v>
      </c>
    </row>
    <row r="13" ht="15" customHeight="1" spans="1:11">
      <c r="A13" s="5" t="s">
        <v>82</v>
      </c>
      <c r="B13" s="6">
        <v>89.1</v>
      </c>
      <c r="C13" s="1"/>
      <c r="D13" s="8">
        <v>88.1</v>
      </c>
      <c r="E13" s="1"/>
      <c r="F13" s="6">
        <v>88.7</v>
      </c>
      <c r="G13" s="1"/>
      <c r="H13" s="7">
        <v>91.1</v>
      </c>
      <c r="I13" s="1"/>
      <c r="J13" s="6">
        <v>90.5</v>
      </c>
      <c r="K13" s="1"/>
    </row>
    <row r="14" ht="15" customHeight="1" spans="1:11">
      <c r="A14" s="4">
        <v>11</v>
      </c>
      <c r="B14" s="1" t="s">
        <v>83</v>
      </c>
      <c r="C14" s="1">
        <v>85</v>
      </c>
      <c r="D14" s="1" t="s">
        <v>104</v>
      </c>
      <c r="E14" s="1">
        <v>85</v>
      </c>
      <c r="F14" s="1" t="s">
        <v>125</v>
      </c>
      <c r="G14" s="1">
        <v>86</v>
      </c>
      <c r="H14" s="1" t="s">
        <v>146</v>
      </c>
      <c r="I14" s="1">
        <v>86</v>
      </c>
      <c r="J14" s="1" t="s">
        <v>112</v>
      </c>
      <c r="K14" s="1">
        <v>87</v>
      </c>
    </row>
    <row r="15" ht="15" customHeight="1" spans="1:11">
      <c r="A15" s="4">
        <v>12</v>
      </c>
      <c r="B15" s="1" t="s">
        <v>113</v>
      </c>
      <c r="C15" s="1">
        <v>85</v>
      </c>
      <c r="D15" s="1" t="s">
        <v>109</v>
      </c>
      <c r="E15" s="1">
        <v>85</v>
      </c>
      <c r="F15" s="1" t="s">
        <v>170</v>
      </c>
      <c r="G15" s="1">
        <v>85</v>
      </c>
      <c r="H15" s="1" t="s">
        <v>91</v>
      </c>
      <c r="I15" s="1">
        <v>85</v>
      </c>
      <c r="J15" s="1" t="s">
        <v>122</v>
      </c>
      <c r="K15" s="1">
        <v>87</v>
      </c>
    </row>
    <row r="16" ht="15" customHeight="1" spans="1:11">
      <c r="A16" s="4">
        <v>13</v>
      </c>
      <c r="B16" s="1" t="s">
        <v>123</v>
      </c>
      <c r="C16" s="1">
        <v>85</v>
      </c>
      <c r="D16" s="1" t="s">
        <v>129</v>
      </c>
      <c r="E16" s="1">
        <v>85</v>
      </c>
      <c r="F16" s="1" t="s">
        <v>79</v>
      </c>
      <c r="G16" s="1">
        <v>84</v>
      </c>
      <c r="H16" s="1" t="s">
        <v>116</v>
      </c>
      <c r="I16" s="1">
        <v>85</v>
      </c>
      <c r="J16" s="1" t="s">
        <v>132</v>
      </c>
      <c r="K16" s="1">
        <v>86</v>
      </c>
    </row>
    <row r="17" ht="15" customHeight="1" spans="1:11">
      <c r="A17" s="4">
        <v>14</v>
      </c>
      <c r="B17" s="1" t="s">
        <v>248</v>
      </c>
      <c r="C17" s="1">
        <v>85</v>
      </c>
      <c r="D17" s="1" t="s">
        <v>149</v>
      </c>
      <c r="E17" s="1">
        <v>85</v>
      </c>
      <c r="F17" s="1" t="s">
        <v>110</v>
      </c>
      <c r="G17" s="1">
        <v>84</v>
      </c>
      <c r="H17" s="1" t="s">
        <v>151</v>
      </c>
      <c r="I17" s="1">
        <v>85</v>
      </c>
      <c r="J17" s="1" t="s">
        <v>97</v>
      </c>
      <c r="K17" s="1">
        <v>84</v>
      </c>
    </row>
    <row r="18" ht="15" customHeight="1" spans="1:11">
      <c r="A18" s="4">
        <v>15</v>
      </c>
      <c r="B18" s="1" t="s">
        <v>88</v>
      </c>
      <c r="C18" s="1">
        <v>84</v>
      </c>
      <c r="D18" s="1" t="s">
        <v>249</v>
      </c>
      <c r="E18" s="1">
        <v>85</v>
      </c>
      <c r="F18" s="1" t="s">
        <v>175</v>
      </c>
      <c r="G18" s="1">
        <v>84</v>
      </c>
      <c r="H18" s="1" t="s">
        <v>156</v>
      </c>
      <c r="I18" s="1">
        <v>84</v>
      </c>
      <c r="J18" s="1" t="s">
        <v>107</v>
      </c>
      <c r="K18" s="1">
        <v>84</v>
      </c>
    </row>
    <row r="19" ht="15" customHeight="1" spans="1:11">
      <c r="A19" s="5" t="s">
        <v>82</v>
      </c>
      <c r="B19" s="6">
        <v>87.6666666666667</v>
      </c>
      <c r="C19" s="1"/>
      <c r="D19" s="8">
        <v>87.0666666666667</v>
      </c>
      <c r="E19" s="1"/>
      <c r="F19" s="6">
        <v>87.3333333333333</v>
      </c>
      <c r="G19" s="1"/>
      <c r="H19" s="7">
        <v>89.0666666666667</v>
      </c>
      <c r="I19" s="1"/>
      <c r="J19" s="6">
        <v>88.8666666666667</v>
      </c>
      <c r="K19" s="1"/>
    </row>
    <row r="20" ht="15" customHeight="1" spans="1:11">
      <c r="A20" s="4">
        <v>16</v>
      </c>
      <c r="B20" s="1" t="s">
        <v>138</v>
      </c>
      <c r="C20" s="1">
        <v>84</v>
      </c>
      <c r="D20" s="1" t="s">
        <v>139</v>
      </c>
      <c r="E20" s="1">
        <v>84</v>
      </c>
      <c r="F20" s="1" t="s">
        <v>185</v>
      </c>
      <c r="G20" s="1">
        <v>84</v>
      </c>
      <c r="H20" s="1" t="s">
        <v>201</v>
      </c>
      <c r="I20" s="1">
        <v>84</v>
      </c>
      <c r="J20" s="1" t="s">
        <v>142</v>
      </c>
      <c r="K20" s="1">
        <v>83</v>
      </c>
    </row>
    <row r="21" ht="15" customHeight="1" spans="1:11">
      <c r="A21" s="4">
        <v>17</v>
      </c>
      <c r="B21" s="1" t="s">
        <v>148</v>
      </c>
      <c r="C21" s="1">
        <v>84</v>
      </c>
      <c r="D21" s="1" t="s">
        <v>63</v>
      </c>
      <c r="E21" s="1">
        <v>83</v>
      </c>
      <c r="F21" s="1" t="s">
        <v>210</v>
      </c>
      <c r="G21" s="1">
        <v>84</v>
      </c>
      <c r="H21" s="1" t="s">
        <v>221</v>
      </c>
      <c r="I21" s="1">
        <v>84</v>
      </c>
      <c r="J21" s="1" t="s">
        <v>127</v>
      </c>
      <c r="K21" s="1">
        <v>82</v>
      </c>
    </row>
    <row r="22" ht="15" customHeight="1" spans="1:11">
      <c r="A22" s="4">
        <v>18</v>
      </c>
      <c r="B22" s="1" t="s">
        <v>158</v>
      </c>
      <c r="C22" s="1">
        <v>84</v>
      </c>
      <c r="D22" s="1" t="s">
        <v>99</v>
      </c>
      <c r="E22" s="1">
        <v>82</v>
      </c>
      <c r="F22" s="1" t="s">
        <v>95</v>
      </c>
      <c r="G22" s="1">
        <v>83</v>
      </c>
      <c r="H22" s="1" t="s">
        <v>211</v>
      </c>
      <c r="I22" s="1">
        <v>82</v>
      </c>
      <c r="J22" s="1" t="s">
        <v>182</v>
      </c>
      <c r="K22" s="1">
        <v>82</v>
      </c>
    </row>
    <row r="23" ht="15" customHeight="1" spans="1:11">
      <c r="A23" s="4">
        <v>19</v>
      </c>
      <c r="B23" s="1" t="s">
        <v>67</v>
      </c>
      <c r="C23" s="1">
        <v>83</v>
      </c>
      <c r="D23" s="1" t="s">
        <v>114</v>
      </c>
      <c r="E23" s="1">
        <v>82</v>
      </c>
      <c r="F23" s="1" t="s">
        <v>100</v>
      </c>
      <c r="G23" s="1">
        <v>83</v>
      </c>
      <c r="H23" s="1" t="s">
        <v>136</v>
      </c>
      <c r="I23" s="1">
        <v>80</v>
      </c>
      <c r="J23" s="1" t="s">
        <v>147</v>
      </c>
      <c r="K23" s="1">
        <v>81</v>
      </c>
    </row>
    <row r="24" ht="15" customHeight="1" spans="1:11">
      <c r="A24" s="4">
        <v>20</v>
      </c>
      <c r="B24" s="1" t="s">
        <v>133</v>
      </c>
      <c r="C24" s="1">
        <v>83</v>
      </c>
      <c r="D24" s="1" t="s">
        <v>154</v>
      </c>
      <c r="E24" s="1">
        <v>82</v>
      </c>
      <c r="F24" s="1" t="s">
        <v>145</v>
      </c>
      <c r="G24" s="1">
        <v>83</v>
      </c>
      <c r="H24" s="1" t="s">
        <v>141</v>
      </c>
      <c r="I24" s="1">
        <v>80</v>
      </c>
      <c r="J24" s="1" t="s">
        <v>187</v>
      </c>
      <c r="K24" s="1">
        <v>81</v>
      </c>
    </row>
    <row r="25" ht="15" customHeight="1" spans="1:11">
      <c r="A25" s="5" t="s">
        <v>82</v>
      </c>
      <c r="B25" s="6">
        <v>86.65</v>
      </c>
      <c r="C25" s="1"/>
      <c r="D25" s="8">
        <v>85.95</v>
      </c>
      <c r="E25" s="1"/>
      <c r="F25" s="6">
        <v>86.35</v>
      </c>
      <c r="G25" s="1"/>
      <c r="H25" s="7">
        <v>87.3</v>
      </c>
      <c r="I25" s="1"/>
      <c r="J25" s="6">
        <v>87.1</v>
      </c>
      <c r="K25" s="1"/>
    </row>
    <row r="26" ht="15" customHeight="1" spans="1:11">
      <c r="A26" s="4">
        <v>21</v>
      </c>
      <c r="B26" s="1" t="s">
        <v>143</v>
      </c>
      <c r="C26" s="1">
        <v>83</v>
      </c>
      <c r="D26" s="1" t="s">
        <v>164</v>
      </c>
      <c r="E26" s="1">
        <v>82</v>
      </c>
      <c r="F26" s="1" t="s">
        <v>180</v>
      </c>
      <c r="G26" s="1">
        <v>83</v>
      </c>
      <c r="H26" s="1" t="s">
        <v>176</v>
      </c>
      <c r="I26" s="1">
        <v>80</v>
      </c>
      <c r="J26" s="1" t="s">
        <v>202</v>
      </c>
      <c r="K26" s="1">
        <v>80</v>
      </c>
    </row>
    <row r="27" ht="15" customHeight="1" spans="1:11">
      <c r="A27" s="4">
        <v>22</v>
      </c>
      <c r="B27" s="1" t="s">
        <v>153</v>
      </c>
      <c r="C27" s="1">
        <v>83</v>
      </c>
      <c r="D27" s="1" t="s">
        <v>68</v>
      </c>
      <c r="E27" s="1">
        <v>81</v>
      </c>
      <c r="F27" s="1" t="s">
        <v>130</v>
      </c>
      <c r="G27" s="1">
        <v>82</v>
      </c>
      <c r="H27" s="1" t="s">
        <v>231</v>
      </c>
      <c r="I27" s="1">
        <v>80</v>
      </c>
      <c r="J27" s="1" t="s">
        <v>207</v>
      </c>
      <c r="K27" s="1">
        <v>80</v>
      </c>
    </row>
    <row r="28" ht="15" customHeight="1" spans="1:11">
      <c r="A28" s="4">
        <v>23</v>
      </c>
      <c r="B28" s="1" t="s">
        <v>183</v>
      </c>
      <c r="C28" s="1">
        <v>82</v>
      </c>
      <c r="D28" s="1" t="s">
        <v>134</v>
      </c>
      <c r="E28" s="1">
        <v>81</v>
      </c>
      <c r="F28" s="1" t="s">
        <v>160</v>
      </c>
      <c r="G28" s="1">
        <v>82</v>
      </c>
      <c r="H28" s="1" t="s">
        <v>126</v>
      </c>
      <c r="I28" s="1">
        <v>79</v>
      </c>
      <c r="J28" s="1" t="s">
        <v>117</v>
      </c>
      <c r="K28" s="1">
        <v>79</v>
      </c>
    </row>
    <row r="29" ht="15" customHeight="1" spans="1:11">
      <c r="A29" s="4">
        <v>24</v>
      </c>
      <c r="B29" s="1" t="s">
        <v>188</v>
      </c>
      <c r="C29" s="1">
        <v>82</v>
      </c>
      <c r="D29" s="1" t="s">
        <v>224</v>
      </c>
      <c r="E29" s="1">
        <v>81</v>
      </c>
      <c r="F29" s="1" t="s">
        <v>225</v>
      </c>
      <c r="G29" s="1">
        <v>82</v>
      </c>
      <c r="H29" s="1" t="s">
        <v>161</v>
      </c>
      <c r="I29" s="1">
        <v>79</v>
      </c>
      <c r="J29" s="1" t="s">
        <v>152</v>
      </c>
      <c r="K29" s="1">
        <v>79</v>
      </c>
    </row>
    <row r="30" ht="15" customHeight="1" spans="1:11">
      <c r="A30" s="4">
        <v>25</v>
      </c>
      <c r="B30" s="1" t="s">
        <v>118</v>
      </c>
      <c r="C30" s="1">
        <v>81</v>
      </c>
      <c r="D30" s="1" t="s">
        <v>119</v>
      </c>
      <c r="E30" s="1">
        <v>80</v>
      </c>
      <c r="F30" s="1" t="s">
        <v>200</v>
      </c>
      <c r="G30" s="1">
        <v>81</v>
      </c>
      <c r="H30" s="1" t="s">
        <v>196</v>
      </c>
      <c r="I30" s="1">
        <v>79</v>
      </c>
      <c r="J30" s="1" t="s">
        <v>177</v>
      </c>
      <c r="K30" s="1">
        <v>79</v>
      </c>
    </row>
    <row r="31" ht="15" customHeight="1" spans="1:11">
      <c r="A31" s="5" t="s">
        <v>82</v>
      </c>
      <c r="B31" s="7">
        <v>85.76</v>
      </c>
      <c r="C31" s="1"/>
      <c r="D31" s="8">
        <v>84.96</v>
      </c>
      <c r="E31" s="1"/>
      <c r="F31" s="6">
        <v>85.48</v>
      </c>
      <c r="G31" s="1"/>
      <c r="H31" s="6">
        <v>85.72</v>
      </c>
      <c r="I31" s="1"/>
      <c r="J31" s="6">
        <v>85.56</v>
      </c>
      <c r="K31" s="1"/>
    </row>
    <row r="32" ht="15" customHeight="1" spans="1:11">
      <c r="A32" s="4">
        <v>26</v>
      </c>
      <c r="B32" s="1" t="s">
        <v>203</v>
      </c>
      <c r="C32" s="1">
        <v>81</v>
      </c>
      <c r="D32" s="1" t="s">
        <v>144</v>
      </c>
      <c r="E32" s="1">
        <v>80</v>
      </c>
      <c r="F32" s="1" t="s">
        <v>230</v>
      </c>
      <c r="G32" s="1">
        <v>81</v>
      </c>
      <c r="H32" s="1" t="s">
        <v>131</v>
      </c>
      <c r="I32" s="1">
        <v>78</v>
      </c>
      <c r="J32" s="1" t="s">
        <v>227</v>
      </c>
      <c r="K32" s="1">
        <v>79</v>
      </c>
    </row>
    <row r="33" ht="15" customHeight="1" spans="1:11">
      <c r="A33" s="4">
        <v>27</v>
      </c>
      <c r="B33" s="1" t="s">
        <v>213</v>
      </c>
      <c r="C33" s="1">
        <v>81</v>
      </c>
      <c r="D33" s="1" t="s">
        <v>159</v>
      </c>
      <c r="E33" s="1">
        <v>80</v>
      </c>
      <c r="F33" s="1" t="s">
        <v>120</v>
      </c>
      <c r="G33" s="1">
        <v>80</v>
      </c>
      <c r="H33" s="1" t="s">
        <v>256</v>
      </c>
      <c r="I33" s="1">
        <v>78</v>
      </c>
      <c r="J33" s="1" t="s">
        <v>162</v>
      </c>
      <c r="K33" s="1">
        <v>78</v>
      </c>
    </row>
    <row r="34" ht="15" customHeight="1" spans="1:11">
      <c r="A34" s="4">
        <v>28</v>
      </c>
      <c r="B34" s="1" t="s">
        <v>228</v>
      </c>
      <c r="C34" s="1">
        <v>81</v>
      </c>
      <c r="D34" s="1" t="s">
        <v>179</v>
      </c>
      <c r="E34" s="1">
        <v>80</v>
      </c>
      <c r="F34" s="1" t="s">
        <v>150</v>
      </c>
      <c r="G34" s="1">
        <v>80</v>
      </c>
      <c r="H34" s="1" t="s">
        <v>181</v>
      </c>
      <c r="I34" s="1">
        <v>77</v>
      </c>
      <c r="J34" s="1" t="s">
        <v>197</v>
      </c>
      <c r="K34" s="1">
        <v>78</v>
      </c>
    </row>
    <row r="35" ht="15" customHeight="1" spans="1:11">
      <c r="A35" s="4">
        <v>29</v>
      </c>
      <c r="B35" s="1" t="s">
        <v>168</v>
      </c>
      <c r="C35" s="1">
        <v>80</v>
      </c>
      <c r="D35" s="1" t="s">
        <v>204</v>
      </c>
      <c r="E35" s="1">
        <v>80</v>
      </c>
      <c r="F35" s="1" t="s">
        <v>220</v>
      </c>
      <c r="G35" s="1">
        <v>80</v>
      </c>
      <c r="H35" s="1" t="s">
        <v>216</v>
      </c>
      <c r="I35" s="1">
        <v>77</v>
      </c>
      <c r="J35" s="1" t="s">
        <v>172</v>
      </c>
      <c r="K35" s="1">
        <v>77</v>
      </c>
    </row>
    <row r="36" ht="15" customHeight="1" spans="1:11">
      <c r="A36" s="4">
        <v>30</v>
      </c>
      <c r="B36" s="1" t="s">
        <v>198</v>
      </c>
      <c r="C36" s="1">
        <v>79</v>
      </c>
      <c r="D36" s="1" t="s">
        <v>169</v>
      </c>
      <c r="E36" s="1">
        <v>78</v>
      </c>
      <c r="F36" s="1" t="s">
        <v>190</v>
      </c>
      <c r="G36" s="1">
        <v>79</v>
      </c>
      <c r="H36" s="1" t="s">
        <v>191</v>
      </c>
      <c r="I36" s="1">
        <v>76</v>
      </c>
      <c r="J36" s="1" t="s">
        <v>192</v>
      </c>
      <c r="K36" s="1">
        <v>77</v>
      </c>
    </row>
    <row r="37" ht="15" customHeight="1" spans="1:11">
      <c r="A37" s="5" t="s">
        <v>82</v>
      </c>
      <c r="B37" s="7">
        <v>84.8666666666667</v>
      </c>
      <c r="C37" s="1"/>
      <c r="D37" s="8">
        <v>84.0666666666667</v>
      </c>
      <c r="E37" s="1"/>
      <c r="F37" s="6">
        <v>84.5666666666667</v>
      </c>
      <c r="G37" s="1"/>
      <c r="H37" s="6">
        <v>84.3</v>
      </c>
      <c r="I37" s="1"/>
      <c r="J37" s="6">
        <v>84.2666666666667</v>
      </c>
      <c r="K37" s="1"/>
    </row>
    <row r="38" ht="15" customHeight="1" spans="1:11">
      <c r="A38" s="4">
        <v>31</v>
      </c>
      <c r="B38" s="1" t="s">
        <v>163</v>
      </c>
      <c r="C38" s="1">
        <v>78</v>
      </c>
      <c r="D38" s="1" t="s">
        <v>194</v>
      </c>
      <c r="E38" s="1">
        <v>78</v>
      </c>
      <c r="F38" s="1" t="s">
        <v>195</v>
      </c>
      <c r="G38" s="1">
        <v>79</v>
      </c>
      <c r="H38" s="1" t="s">
        <v>166</v>
      </c>
      <c r="I38" s="1">
        <v>75</v>
      </c>
      <c r="J38" s="1" t="s">
        <v>232</v>
      </c>
      <c r="K38" s="1">
        <v>77</v>
      </c>
    </row>
    <row r="39" ht="15" customHeight="1" spans="1:11">
      <c r="A39" s="4">
        <v>32</v>
      </c>
      <c r="B39" s="1" t="s">
        <v>173</v>
      </c>
      <c r="C39" s="1">
        <v>78</v>
      </c>
      <c r="D39" s="1" t="s">
        <v>234</v>
      </c>
      <c r="E39" s="1">
        <v>78</v>
      </c>
      <c r="F39" s="1" t="s">
        <v>135</v>
      </c>
      <c r="G39" s="1">
        <v>78</v>
      </c>
      <c r="H39" s="1" t="s">
        <v>186</v>
      </c>
      <c r="I39" s="1">
        <v>75</v>
      </c>
      <c r="J39" s="1" t="s">
        <v>167</v>
      </c>
      <c r="K39" s="1">
        <v>75</v>
      </c>
    </row>
    <row r="40" ht="15" customHeight="1" spans="1:11">
      <c r="A40" s="4">
        <v>33</v>
      </c>
      <c r="B40" s="1" t="s">
        <v>218</v>
      </c>
      <c r="C40" s="1">
        <v>78</v>
      </c>
      <c r="D40" s="1" t="s">
        <v>214</v>
      </c>
      <c r="E40" s="1">
        <v>77</v>
      </c>
      <c r="F40" s="1" t="s">
        <v>205</v>
      </c>
      <c r="G40" s="1">
        <v>78</v>
      </c>
      <c r="H40" s="1" t="s">
        <v>171</v>
      </c>
      <c r="I40" s="1">
        <v>74</v>
      </c>
      <c r="J40" s="1" t="s">
        <v>242</v>
      </c>
      <c r="K40" s="1">
        <v>75</v>
      </c>
    </row>
    <row r="41" ht="15" customHeight="1" spans="1:11">
      <c r="A41" s="4">
        <v>34</v>
      </c>
      <c r="B41" s="1" t="s">
        <v>223</v>
      </c>
      <c r="C41" s="1">
        <v>78</v>
      </c>
      <c r="D41" s="1" t="s">
        <v>184</v>
      </c>
      <c r="E41" s="1">
        <v>76</v>
      </c>
      <c r="F41" s="1" t="s">
        <v>215</v>
      </c>
      <c r="G41" s="1">
        <v>78</v>
      </c>
      <c r="H41" s="1" t="s">
        <v>251</v>
      </c>
      <c r="I41" s="1">
        <v>74</v>
      </c>
      <c r="J41" s="1" t="s">
        <v>212</v>
      </c>
      <c r="K41" s="1">
        <v>74</v>
      </c>
    </row>
    <row r="42" ht="15" customHeight="1" spans="1:11">
      <c r="A42" s="4">
        <v>35</v>
      </c>
      <c r="B42" s="1" t="s">
        <v>238</v>
      </c>
      <c r="C42" s="1">
        <v>78</v>
      </c>
      <c r="D42" s="1" t="s">
        <v>219</v>
      </c>
      <c r="E42" s="1">
        <v>76</v>
      </c>
      <c r="F42" s="1" t="s">
        <v>235</v>
      </c>
      <c r="G42" s="1">
        <v>78</v>
      </c>
      <c r="H42" s="1" t="s">
        <v>121</v>
      </c>
      <c r="I42" s="1">
        <v>73</v>
      </c>
      <c r="J42" s="1" t="s">
        <v>237</v>
      </c>
      <c r="K42" s="1">
        <v>74</v>
      </c>
    </row>
    <row r="43" ht="15" customHeight="1" spans="1:11">
      <c r="A43" s="5" t="s">
        <v>82</v>
      </c>
      <c r="B43" s="7">
        <v>83.8857142857143</v>
      </c>
      <c r="C43" s="1"/>
      <c r="D43" s="6">
        <v>83.0571428571429</v>
      </c>
      <c r="E43" s="1"/>
      <c r="F43" s="6">
        <v>83.6571428571429</v>
      </c>
      <c r="G43" s="1"/>
      <c r="H43" s="8">
        <v>82.8571428571429</v>
      </c>
      <c r="I43" s="1"/>
      <c r="J43" s="6">
        <v>82.9428571428571</v>
      </c>
      <c r="K43" s="1"/>
    </row>
    <row r="44" ht="15" customHeight="1" spans="1:11">
      <c r="A44" s="4">
        <v>36</v>
      </c>
      <c r="B44" s="1" t="s">
        <v>253</v>
      </c>
      <c r="C44" s="1">
        <v>77</v>
      </c>
      <c r="D44" s="1" t="s">
        <v>174</v>
      </c>
      <c r="E44" s="1">
        <v>75</v>
      </c>
      <c r="F44" s="1" t="s">
        <v>265</v>
      </c>
      <c r="G44" s="1">
        <v>78</v>
      </c>
      <c r="H44" s="1" t="s">
        <v>266</v>
      </c>
      <c r="I44" s="1">
        <v>73</v>
      </c>
      <c r="J44" s="1" t="s">
        <v>257</v>
      </c>
      <c r="K44" s="1">
        <v>73</v>
      </c>
    </row>
    <row r="45" ht="15" customHeight="1" spans="1:11">
      <c r="A45" s="4">
        <v>37</v>
      </c>
      <c r="B45" s="1" t="s">
        <v>178</v>
      </c>
      <c r="C45" s="1">
        <v>73</v>
      </c>
      <c r="D45" s="1" t="s">
        <v>199</v>
      </c>
      <c r="E45" s="1">
        <v>73</v>
      </c>
      <c r="F45" s="1" t="s">
        <v>165</v>
      </c>
      <c r="G45" s="1">
        <v>77</v>
      </c>
      <c r="H45" s="1" t="s">
        <v>206</v>
      </c>
      <c r="I45" s="1">
        <v>70</v>
      </c>
      <c r="J45" s="1" t="s">
        <v>217</v>
      </c>
      <c r="K45" s="1">
        <v>70</v>
      </c>
    </row>
    <row r="46" ht="15" customHeight="1" spans="1:11">
      <c r="A46" s="4">
        <v>38</v>
      </c>
      <c r="B46" s="1" t="s">
        <v>193</v>
      </c>
      <c r="C46" s="1">
        <v>72</v>
      </c>
      <c r="D46" s="1" t="s">
        <v>244</v>
      </c>
      <c r="E46" s="1">
        <v>69</v>
      </c>
      <c r="F46" s="1" t="s">
        <v>260</v>
      </c>
      <c r="G46" s="1">
        <v>76</v>
      </c>
      <c r="H46" s="1" t="s">
        <v>226</v>
      </c>
      <c r="I46" s="1">
        <v>69</v>
      </c>
      <c r="J46" s="1" t="s">
        <v>222</v>
      </c>
      <c r="K46" s="1">
        <v>66</v>
      </c>
    </row>
    <row r="47" ht="15" customHeight="1" spans="1:11">
      <c r="A47" s="4">
        <v>39</v>
      </c>
      <c r="B47" s="1" t="s">
        <v>243</v>
      </c>
      <c r="C47" s="1">
        <v>72</v>
      </c>
      <c r="D47" s="1" t="s">
        <v>239</v>
      </c>
      <c r="E47" s="1">
        <v>64</v>
      </c>
      <c r="F47" s="1" t="s">
        <v>255</v>
      </c>
      <c r="G47" s="1">
        <v>75</v>
      </c>
      <c r="H47" s="1" t="s">
        <v>236</v>
      </c>
      <c r="I47" s="1">
        <v>68</v>
      </c>
      <c r="J47" s="1" t="s">
        <v>252</v>
      </c>
      <c r="K47" s="1">
        <v>60</v>
      </c>
    </row>
    <row r="48" ht="15" customHeight="1" spans="1:11">
      <c r="A48" s="4">
        <v>40</v>
      </c>
      <c r="B48" s="1" t="s">
        <v>268</v>
      </c>
      <c r="C48" s="1">
        <v>72</v>
      </c>
      <c r="D48" s="1" t="s">
        <v>269</v>
      </c>
      <c r="E48" s="1">
        <v>63</v>
      </c>
      <c r="F48" s="1" t="s">
        <v>240</v>
      </c>
      <c r="G48" s="1">
        <v>72</v>
      </c>
      <c r="H48" s="1" t="s">
        <v>241</v>
      </c>
      <c r="I48" s="1">
        <v>60</v>
      </c>
      <c r="J48" s="1" t="s">
        <v>267</v>
      </c>
      <c r="K48" s="1">
        <v>55</v>
      </c>
    </row>
    <row r="49" ht="15" customHeight="1" spans="1:11">
      <c r="A49" s="5" t="s">
        <v>82</v>
      </c>
      <c r="B49" s="6">
        <v>82.55</v>
      </c>
      <c r="C49" s="1"/>
      <c r="D49" s="6">
        <v>81.275</v>
      </c>
      <c r="E49" s="1"/>
      <c r="F49" s="7">
        <v>82.65</v>
      </c>
      <c r="G49" s="1"/>
      <c r="H49" s="6">
        <v>81</v>
      </c>
      <c r="I49" s="1"/>
      <c r="J49" s="8">
        <v>80.675</v>
      </c>
      <c r="K49" s="1"/>
    </row>
    <row r="50" ht="15" customHeight="1" spans="1:11">
      <c r="A50" s="4">
        <v>41</v>
      </c>
      <c r="B50" s="1" t="s">
        <v>233</v>
      </c>
      <c r="C50" s="1">
        <v>67</v>
      </c>
      <c r="D50" s="1" t="s">
        <v>254</v>
      </c>
      <c r="E50" s="1">
        <v>61</v>
      </c>
      <c r="F50" s="1" t="s">
        <v>250</v>
      </c>
      <c r="G50" s="1">
        <v>72</v>
      </c>
      <c r="H50" s="1" t="s">
        <v>246</v>
      </c>
      <c r="I50" s="1">
        <v>60</v>
      </c>
      <c r="J50" s="1" t="s">
        <v>247</v>
      </c>
      <c r="K50" s="1">
        <v>50</v>
      </c>
    </row>
    <row r="51" ht="15" customHeight="1" spans="1:11">
      <c r="A51" s="4">
        <v>42</v>
      </c>
      <c r="B51" s="1" t="s">
        <v>258</v>
      </c>
      <c r="C51" s="1">
        <v>65</v>
      </c>
      <c r="D51" s="1" t="s">
        <v>259</v>
      </c>
      <c r="E51" s="1">
        <v>47</v>
      </c>
      <c r="F51" s="1" t="s">
        <v>245</v>
      </c>
      <c r="G51" s="1">
        <v>66</v>
      </c>
      <c r="H51" s="1" t="s">
        <v>271</v>
      </c>
      <c r="I51" s="1">
        <v>51</v>
      </c>
      <c r="J51" s="1" t="s">
        <v>272</v>
      </c>
      <c r="K51" s="1">
        <v>35</v>
      </c>
    </row>
    <row r="52" ht="15" customHeight="1" spans="1:11">
      <c r="A52" s="4">
        <v>43</v>
      </c>
      <c r="B52" s="1" t="s">
        <v>263</v>
      </c>
      <c r="C52" s="1">
        <v>61</v>
      </c>
      <c r="D52" s="1" t="s">
        <v>264</v>
      </c>
      <c r="E52" s="1">
        <v>41</v>
      </c>
      <c r="F52" s="1" t="s">
        <v>270</v>
      </c>
      <c r="G52" s="1">
        <v>65</v>
      </c>
      <c r="H52" s="1" t="s">
        <v>261</v>
      </c>
      <c r="I52" s="1">
        <v>44</v>
      </c>
      <c r="J52" s="1" t="s">
        <v>262</v>
      </c>
      <c r="K52" s="1">
        <v>32</v>
      </c>
    </row>
    <row r="53" ht="15" customHeight="1" spans="1:11">
      <c r="A53" s="4">
        <v>44</v>
      </c>
      <c r="B53" s="1" t="s">
        <v>273</v>
      </c>
      <c r="C53" s="1">
        <v>33</v>
      </c>
      <c r="D53" s="1" t="s">
        <v>279</v>
      </c>
      <c r="E53" s="1">
        <v>37</v>
      </c>
      <c r="F53" s="1" t="s">
        <v>275</v>
      </c>
      <c r="G53" s="1">
        <v>54</v>
      </c>
      <c r="H53" s="1" t="s">
        <v>281</v>
      </c>
      <c r="I53" s="1">
        <v>33</v>
      </c>
      <c r="J53" s="1" t="s">
        <v>277</v>
      </c>
      <c r="K53" s="1">
        <v>31</v>
      </c>
    </row>
    <row r="54" ht="15" customHeight="1" spans="1:11">
      <c r="A54" s="4">
        <v>45</v>
      </c>
      <c r="B54" s="1" t="s">
        <v>278</v>
      </c>
      <c r="C54" s="1">
        <v>11</v>
      </c>
      <c r="D54" s="1" t="s">
        <v>274</v>
      </c>
      <c r="E54" s="1">
        <v>21</v>
      </c>
      <c r="F54" s="1" t="s">
        <v>282</v>
      </c>
      <c r="G54" s="1">
        <v>34</v>
      </c>
      <c r="H54" s="1" t="s">
        <v>276</v>
      </c>
      <c r="I54" s="1">
        <v>21</v>
      </c>
      <c r="J54" s="1"/>
      <c r="K54" s="1"/>
    </row>
    <row r="55" ht="15" customHeight="1" spans="1:11">
      <c r="A55" s="5" t="s">
        <v>82</v>
      </c>
      <c r="B55" s="6">
        <v>78.6444444444444</v>
      </c>
      <c r="C55" s="1"/>
      <c r="D55" s="6">
        <v>76.8444444444444</v>
      </c>
      <c r="E55" s="1"/>
      <c r="F55" s="7">
        <v>79.9333333333333</v>
      </c>
      <c r="G55" s="1"/>
      <c r="H55" s="8">
        <v>76.6444444444444</v>
      </c>
      <c r="I55" s="1"/>
      <c r="J55" s="6">
        <v>76.7045454545455</v>
      </c>
      <c r="K55" s="1"/>
    </row>
    <row r="56" ht="15" customHeight="1" spans="1:11">
      <c r="A56" s="4">
        <v>46</v>
      </c>
      <c r="B56" s="1"/>
      <c r="C56" s="1"/>
      <c r="D56" s="1"/>
      <c r="E56" s="1"/>
      <c r="F56" s="1" t="s">
        <v>280</v>
      </c>
      <c r="G56" s="1">
        <v>32</v>
      </c>
      <c r="H56" s="1" t="s">
        <v>283</v>
      </c>
      <c r="I56" s="1">
        <v>15</v>
      </c>
      <c r="J56" s="1"/>
      <c r="K56" s="1"/>
    </row>
    <row r="57" ht="15" customHeight="1" spans="1:11">
      <c r="A57" s="4">
        <v>47</v>
      </c>
      <c r="B57" s="1"/>
      <c r="C57" s="1"/>
      <c r="D57" s="1"/>
      <c r="E57" s="1"/>
      <c r="F57" s="1" t="s">
        <v>284</v>
      </c>
      <c r="G57" s="1">
        <v>22</v>
      </c>
      <c r="H57" s="1"/>
      <c r="I57" s="1"/>
      <c r="J57" s="1"/>
      <c r="K57" s="1"/>
    </row>
    <row r="58" ht="15" customHeight="1" spans="1:11">
      <c r="A58" s="4">
        <v>48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" customHeight="1" spans="1:11">
      <c r="A59" s="4">
        <v>49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" customHeight="1" spans="1:11">
      <c r="A60" s="4">
        <v>50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" customHeight="1" spans="1:11">
      <c r="A61" s="5" t="s">
        <v>82</v>
      </c>
      <c r="B61" s="7">
        <v>78.6444444444444</v>
      </c>
      <c r="C61" s="1"/>
      <c r="D61" s="6">
        <v>76.8444444444444</v>
      </c>
      <c r="E61" s="1"/>
      <c r="F61" s="6">
        <v>77.6808510638298</v>
      </c>
      <c r="G61" s="1"/>
      <c r="H61" s="8">
        <v>75.304347826087</v>
      </c>
      <c r="I61" s="1"/>
      <c r="J61" s="6">
        <v>76.7045454545455</v>
      </c>
      <c r="K61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showGridLines="0" workbookViewId="0">
      <selection activeCell="A1" sqref="A1"/>
    </sheetView>
  </sheetViews>
  <sheetFormatPr defaultColWidth="9" defaultRowHeight="13.5"/>
  <sheetData>
    <row r="1" ht="15" customHeight="1" spans="1:11">
      <c r="A1" s="4" t="s">
        <v>50</v>
      </c>
      <c r="B1" s="4" t="s">
        <v>51</v>
      </c>
      <c r="C1" s="4" t="s">
        <v>19</v>
      </c>
      <c r="D1" s="4" t="s">
        <v>53</v>
      </c>
      <c r="E1" s="4" t="s">
        <v>19</v>
      </c>
      <c r="F1" s="4" t="s">
        <v>54</v>
      </c>
      <c r="G1" s="4" t="s">
        <v>19</v>
      </c>
      <c r="H1" s="4" t="s">
        <v>55</v>
      </c>
      <c r="I1" s="4" t="s">
        <v>19</v>
      </c>
      <c r="J1" s="4" t="s">
        <v>56</v>
      </c>
      <c r="K1" s="4" t="s">
        <v>19</v>
      </c>
    </row>
    <row r="2" ht="15" customHeight="1" spans="1:11">
      <c r="A2" s="4">
        <v>1</v>
      </c>
      <c r="B2" s="1" t="s">
        <v>62</v>
      </c>
      <c r="C2" s="1">
        <v>98.8</v>
      </c>
      <c r="D2" s="1" t="s">
        <v>63</v>
      </c>
      <c r="E2" s="1">
        <v>98.4</v>
      </c>
      <c r="F2" s="1" t="s">
        <v>120</v>
      </c>
      <c r="G2" s="1">
        <v>98.2</v>
      </c>
      <c r="H2" s="1" t="s">
        <v>65</v>
      </c>
      <c r="I2" s="1">
        <v>97.7</v>
      </c>
      <c r="J2" s="1" t="s">
        <v>167</v>
      </c>
      <c r="K2" s="1">
        <v>96.2</v>
      </c>
    </row>
    <row r="3" ht="15" customHeight="1" spans="1:11">
      <c r="A3" s="4">
        <v>2</v>
      </c>
      <c r="B3" s="1" t="s">
        <v>77</v>
      </c>
      <c r="C3" s="1">
        <v>97.7</v>
      </c>
      <c r="D3" s="1" t="s">
        <v>78</v>
      </c>
      <c r="E3" s="1">
        <v>97.4</v>
      </c>
      <c r="F3" s="1" t="s">
        <v>59</v>
      </c>
      <c r="G3" s="1">
        <v>97.7</v>
      </c>
      <c r="H3" s="1" t="s">
        <v>70</v>
      </c>
      <c r="I3" s="1">
        <v>97.5</v>
      </c>
      <c r="J3" s="1" t="s">
        <v>87</v>
      </c>
      <c r="K3" s="1">
        <v>96</v>
      </c>
    </row>
    <row r="4" ht="15" customHeight="1" spans="1:11">
      <c r="A4" s="4">
        <v>3</v>
      </c>
      <c r="B4" s="1" t="s">
        <v>57</v>
      </c>
      <c r="C4" s="1">
        <v>96.5</v>
      </c>
      <c r="D4" s="1" t="s">
        <v>58</v>
      </c>
      <c r="E4" s="1">
        <v>96.5</v>
      </c>
      <c r="F4" s="1" t="s">
        <v>64</v>
      </c>
      <c r="G4" s="1">
        <v>97.7</v>
      </c>
      <c r="H4" s="1" t="s">
        <v>86</v>
      </c>
      <c r="I4" s="1">
        <v>97.2</v>
      </c>
      <c r="J4" s="1" t="s">
        <v>66</v>
      </c>
      <c r="K4" s="1">
        <v>95.6</v>
      </c>
    </row>
    <row r="5" ht="15" customHeight="1" spans="1:11">
      <c r="A5" s="4">
        <v>4</v>
      </c>
      <c r="B5" s="1" t="s">
        <v>83</v>
      </c>
      <c r="C5" s="1">
        <v>96.1</v>
      </c>
      <c r="D5" s="1" t="s">
        <v>68</v>
      </c>
      <c r="E5" s="1">
        <v>94.7</v>
      </c>
      <c r="F5" s="1" t="s">
        <v>100</v>
      </c>
      <c r="G5" s="1">
        <v>96.9</v>
      </c>
      <c r="H5" s="1" t="s">
        <v>60</v>
      </c>
      <c r="I5" s="1">
        <v>97</v>
      </c>
      <c r="J5" s="1" t="s">
        <v>61</v>
      </c>
      <c r="K5" s="1">
        <v>95.1</v>
      </c>
    </row>
    <row r="6" ht="15" customHeight="1" spans="1:11">
      <c r="A6" s="4">
        <v>5</v>
      </c>
      <c r="B6" s="1" t="s">
        <v>128</v>
      </c>
      <c r="C6" s="1">
        <v>95.7</v>
      </c>
      <c r="D6" s="1" t="s">
        <v>114</v>
      </c>
      <c r="E6" s="1">
        <v>93.9</v>
      </c>
      <c r="F6" s="1" t="s">
        <v>69</v>
      </c>
      <c r="G6" s="1">
        <v>96.5</v>
      </c>
      <c r="H6" s="1" t="s">
        <v>96</v>
      </c>
      <c r="I6" s="1">
        <v>96.3</v>
      </c>
      <c r="J6" s="1" t="s">
        <v>76</v>
      </c>
      <c r="K6" s="1">
        <v>94.5</v>
      </c>
    </row>
    <row r="7" ht="15" customHeight="1" spans="1:11">
      <c r="A7" s="5" t="s">
        <v>82</v>
      </c>
      <c r="B7" s="6">
        <v>96.96</v>
      </c>
      <c r="C7" s="1"/>
      <c r="D7" s="6">
        <v>96.18</v>
      </c>
      <c r="E7" s="1"/>
      <c r="F7" s="7">
        <v>97.4</v>
      </c>
      <c r="G7" s="1"/>
      <c r="H7" s="6">
        <v>97.14</v>
      </c>
      <c r="I7" s="1"/>
      <c r="J7" s="8">
        <v>95.48</v>
      </c>
      <c r="K7" s="1"/>
    </row>
    <row r="8" ht="15" customHeight="1" spans="1:11">
      <c r="A8" s="4">
        <v>6</v>
      </c>
      <c r="B8" s="1" t="s">
        <v>72</v>
      </c>
      <c r="C8" s="1">
        <v>95.3</v>
      </c>
      <c r="D8" s="1" t="s">
        <v>119</v>
      </c>
      <c r="E8" s="1">
        <v>93</v>
      </c>
      <c r="F8" s="1" t="s">
        <v>79</v>
      </c>
      <c r="G8" s="1">
        <v>95.8</v>
      </c>
      <c r="H8" s="1" t="s">
        <v>116</v>
      </c>
      <c r="I8" s="1">
        <v>95.9</v>
      </c>
      <c r="J8" s="1" t="s">
        <v>102</v>
      </c>
      <c r="K8" s="1">
        <v>94.4</v>
      </c>
    </row>
    <row r="9" ht="15" customHeight="1" spans="1:11">
      <c r="A9" s="4">
        <v>7</v>
      </c>
      <c r="B9" s="1" t="s">
        <v>67</v>
      </c>
      <c r="C9" s="1">
        <v>95</v>
      </c>
      <c r="D9" s="1" t="s">
        <v>94</v>
      </c>
      <c r="E9" s="1">
        <v>92.3</v>
      </c>
      <c r="F9" s="1" t="s">
        <v>185</v>
      </c>
      <c r="G9" s="1">
        <v>95.4</v>
      </c>
      <c r="H9" s="1" t="s">
        <v>75</v>
      </c>
      <c r="I9" s="1">
        <v>95.3</v>
      </c>
      <c r="J9" s="1" t="s">
        <v>71</v>
      </c>
      <c r="K9" s="1">
        <v>94.1</v>
      </c>
    </row>
    <row r="10" ht="15" customHeight="1" spans="1:11">
      <c r="A10" s="4">
        <v>8</v>
      </c>
      <c r="B10" s="1" t="s">
        <v>118</v>
      </c>
      <c r="C10" s="1">
        <v>94.4</v>
      </c>
      <c r="D10" s="1" t="s">
        <v>73</v>
      </c>
      <c r="E10" s="1">
        <v>92.1</v>
      </c>
      <c r="F10" s="1" t="s">
        <v>105</v>
      </c>
      <c r="G10" s="1">
        <v>95.1</v>
      </c>
      <c r="H10" s="1" t="s">
        <v>91</v>
      </c>
      <c r="I10" s="1">
        <v>95.3</v>
      </c>
      <c r="J10" s="1" t="s">
        <v>147</v>
      </c>
      <c r="K10" s="1">
        <v>93.8</v>
      </c>
    </row>
    <row r="11" ht="15" customHeight="1" spans="1:11">
      <c r="A11" s="4">
        <v>9</v>
      </c>
      <c r="B11" s="1" t="s">
        <v>133</v>
      </c>
      <c r="C11" s="1">
        <v>94.1</v>
      </c>
      <c r="D11" s="1" t="s">
        <v>104</v>
      </c>
      <c r="E11" s="1">
        <v>92.1</v>
      </c>
      <c r="F11" s="1" t="s">
        <v>74</v>
      </c>
      <c r="G11" s="1">
        <v>93.7</v>
      </c>
      <c r="H11" s="1" t="s">
        <v>121</v>
      </c>
      <c r="I11" s="1">
        <v>94.8</v>
      </c>
      <c r="J11" s="1" t="s">
        <v>97</v>
      </c>
      <c r="K11" s="1">
        <v>93.7</v>
      </c>
    </row>
    <row r="12" ht="15" customHeight="1" spans="1:11">
      <c r="A12" s="4">
        <v>10</v>
      </c>
      <c r="B12" s="1" t="s">
        <v>88</v>
      </c>
      <c r="C12" s="1">
        <v>93.8</v>
      </c>
      <c r="D12" s="1" t="s">
        <v>139</v>
      </c>
      <c r="E12" s="1">
        <v>91.4</v>
      </c>
      <c r="F12" s="1" t="s">
        <v>115</v>
      </c>
      <c r="G12" s="1">
        <v>91.4</v>
      </c>
      <c r="H12" s="1" t="s">
        <v>80</v>
      </c>
      <c r="I12" s="1">
        <v>94.4</v>
      </c>
      <c r="J12" s="1" t="s">
        <v>81</v>
      </c>
      <c r="K12" s="1">
        <v>91.9</v>
      </c>
    </row>
    <row r="13" ht="15" customHeight="1" spans="1:11">
      <c r="A13" s="5" t="s">
        <v>82</v>
      </c>
      <c r="B13" s="6">
        <v>95.74</v>
      </c>
      <c r="C13" s="1"/>
      <c r="D13" s="8">
        <v>94.18</v>
      </c>
      <c r="E13" s="1"/>
      <c r="F13" s="6">
        <v>95.84</v>
      </c>
      <c r="G13" s="1"/>
      <c r="H13" s="7">
        <v>96.14</v>
      </c>
      <c r="I13" s="1"/>
      <c r="J13" s="6">
        <v>94.53</v>
      </c>
      <c r="K13" s="1"/>
    </row>
    <row r="14" ht="15" customHeight="1" spans="1:11">
      <c r="A14" s="4">
        <v>11</v>
      </c>
      <c r="B14" s="1" t="s">
        <v>93</v>
      </c>
      <c r="C14" s="1">
        <v>91.5</v>
      </c>
      <c r="D14" s="1" t="s">
        <v>134</v>
      </c>
      <c r="E14" s="1">
        <v>91.1</v>
      </c>
      <c r="F14" s="1" t="s">
        <v>85</v>
      </c>
      <c r="G14" s="1">
        <v>91.1</v>
      </c>
      <c r="H14" s="1" t="s">
        <v>126</v>
      </c>
      <c r="I14" s="1">
        <v>94.1</v>
      </c>
      <c r="J14" s="1" t="s">
        <v>142</v>
      </c>
      <c r="K14" s="1">
        <v>91.4</v>
      </c>
    </row>
    <row r="15" ht="15" customHeight="1" spans="1:11">
      <c r="A15" s="4">
        <v>12</v>
      </c>
      <c r="B15" s="1" t="s">
        <v>158</v>
      </c>
      <c r="C15" s="1">
        <v>91.3</v>
      </c>
      <c r="D15" s="1" t="s">
        <v>84</v>
      </c>
      <c r="E15" s="1">
        <v>90.7</v>
      </c>
      <c r="F15" s="1" t="s">
        <v>165</v>
      </c>
      <c r="G15" s="1">
        <v>90.8</v>
      </c>
      <c r="H15" s="1" t="s">
        <v>166</v>
      </c>
      <c r="I15" s="1">
        <v>92.9</v>
      </c>
      <c r="J15" s="1" t="s">
        <v>137</v>
      </c>
      <c r="K15" s="1">
        <v>90.4</v>
      </c>
    </row>
    <row r="16" ht="15" customHeight="1" spans="1:11">
      <c r="A16" s="4">
        <v>13</v>
      </c>
      <c r="B16" s="1" t="s">
        <v>143</v>
      </c>
      <c r="C16" s="1">
        <v>89.5</v>
      </c>
      <c r="D16" s="1" t="s">
        <v>109</v>
      </c>
      <c r="E16" s="1">
        <v>90.2</v>
      </c>
      <c r="F16" s="1" t="s">
        <v>125</v>
      </c>
      <c r="G16" s="1">
        <v>90.3</v>
      </c>
      <c r="H16" s="1" t="s">
        <v>131</v>
      </c>
      <c r="I16" s="1">
        <v>92.7</v>
      </c>
      <c r="J16" s="1" t="s">
        <v>92</v>
      </c>
      <c r="K16" s="1">
        <v>90.2</v>
      </c>
    </row>
    <row r="17" ht="15" customHeight="1" spans="1:11">
      <c r="A17" s="4">
        <v>14</v>
      </c>
      <c r="B17" s="1" t="s">
        <v>108</v>
      </c>
      <c r="C17" s="1">
        <v>88.6</v>
      </c>
      <c r="D17" s="1" t="s">
        <v>89</v>
      </c>
      <c r="E17" s="1">
        <v>89.8</v>
      </c>
      <c r="F17" s="1" t="s">
        <v>95</v>
      </c>
      <c r="G17" s="1">
        <v>90.2</v>
      </c>
      <c r="H17" s="1" t="s">
        <v>106</v>
      </c>
      <c r="I17" s="1">
        <v>92.5</v>
      </c>
      <c r="J17" s="1" t="s">
        <v>127</v>
      </c>
      <c r="K17" s="1">
        <v>90.1</v>
      </c>
    </row>
    <row r="18" ht="15" customHeight="1" spans="1:11">
      <c r="A18" s="4">
        <v>15</v>
      </c>
      <c r="B18" s="1" t="s">
        <v>123</v>
      </c>
      <c r="C18" s="1">
        <v>88.3</v>
      </c>
      <c r="D18" s="1" t="s">
        <v>144</v>
      </c>
      <c r="E18" s="1">
        <v>89.3</v>
      </c>
      <c r="F18" s="1" t="s">
        <v>145</v>
      </c>
      <c r="G18" s="1">
        <v>88.3</v>
      </c>
      <c r="H18" s="1" t="s">
        <v>101</v>
      </c>
      <c r="I18" s="1">
        <v>92.2</v>
      </c>
      <c r="J18" s="1" t="s">
        <v>122</v>
      </c>
      <c r="K18" s="1">
        <v>90</v>
      </c>
    </row>
    <row r="19" ht="15" customHeight="1" spans="1:11">
      <c r="A19" s="5" t="s">
        <v>82</v>
      </c>
      <c r="B19" s="6">
        <v>93.7733333333333</v>
      </c>
      <c r="C19" s="1"/>
      <c r="D19" s="8">
        <v>92.86</v>
      </c>
      <c r="E19" s="1"/>
      <c r="F19" s="6">
        <v>93.94</v>
      </c>
      <c r="G19" s="1"/>
      <c r="H19" s="7">
        <v>95.0533333333333</v>
      </c>
      <c r="I19" s="1"/>
      <c r="J19" s="6">
        <v>93.16</v>
      </c>
      <c r="K19" s="1"/>
    </row>
    <row r="20" ht="15" customHeight="1" spans="1:11">
      <c r="A20" s="4">
        <v>16</v>
      </c>
      <c r="B20" s="1" t="s">
        <v>103</v>
      </c>
      <c r="C20" s="1">
        <v>88.1</v>
      </c>
      <c r="D20" s="1" t="s">
        <v>99</v>
      </c>
      <c r="E20" s="1">
        <v>88.3</v>
      </c>
      <c r="F20" s="1" t="s">
        <v>90</v>
      </c>
      <c r="G20" s="1">
        <v>87.6</v>
      </c>
      <c r="H20" s="1" t="s">
        <v>171</v>
      </c>
      <c r="I20" s="1">
        <v>91.7</v>
      </c>
      <c r="J20" s="1" t="s">
        <v>117</v>
      </c>
      <c r="K20" s="1">
        <v>89.9</v>
      </c>
    </row>
    <row r="21" ht="15" customHeight="1" spans="1:11">
      <c r="A21" s="4">
        <v>17</v>
      </c>
      <c r="B21" s="1" t="s">
        <v>163</v>
      </c>
      <c r="C21" s="1">
        <v>87.7</v>
      </c>
      <c r="D21" s="1" t="s">
        <v>164</v>
      </c>
      <c r="E21" s="1">
        <v>86.2</v>
      </c>
      <c r="F21" s="1" t="s">
        <v>180</v>
      </c>
      <c r="G21" s="1">
        <v>87.4</v>
      </c>
      <c r="H21" s="1" t="s">
        <v>136</v>
      </c>
      <c r="I21" s="1">
        <v>91.5</v>
      </c>
      <c r="J21" s="1" t="s">
        <v>162</v>
      </c>
      <c r="K21" s="1">
        <v>89.4</v>
      </c>
    </row>
    <row r="22" ht="15" customHeight="1" spans="1:11">
      <c r="A22" s="4">
        <v>18</v>
      </c>
      <c r="B22" s="1" t="s">
        <v>168</v>
      </c>
      <c r="C22" s="1">
        <v>87.6</v>
      </c>
      <c r="D22" s="1" t="s">
        <v>149</v>
      </c>
      <c r="E22" s="1">
        <v>85.4</v>
      </c>
      <c r="F22" s="1" t="s">
        <v>160</v>
      </c>
      <c r="G22" s="1">
        <v>87.3</v>
      </c>
      <c r="H22" s="1" t="s">
        <v>206</v>
      </c>
      <c r="I22" s="1">
        <v>91.1</v>
      </c>
      <c r="J22" s="1" t="s">
        <v>222</v>
      </c>
      <c r="K22" s="1">
        <v>89.2</v>
      </c>
    </row>
    <row r="23" ht="15" customHeight="1" spans="1:11">
      <c r="A23" s="4">
        <v>19</v>
      </c>
      <c r="B23" s="1" t="s">
        <v>173</v>
      </c>
      <c r="C23" s="1">
        <v>85.4</v>
      </c>
      <c r="D23" s="1" t="s">
        <v>129</v>
      </c>
      <c r="E23" s="1">
        <v>84.8</v>
      </c>
      <c r="F23" s="1" t="s">
        <v>110</v>
      </c>
      <c r="G23" s="1">
        <v>86.9</v>
      </c>
      <c r="H23" s="1" t="s">
        <v>161</v>
      </c>
      <c r="I23" s="1">
        <v>90.8</v>
      </c>
      <c r="J23" s="1" t="s">
        <v>112</v>
      </c>
      <c r="K23" s="1">
        <v>88.9</v>
      </c>
    </row>
    <row r="24" ht="15" customHeight="1" spans="1:11">
      <c r="A24" s="4">
        <v>20</v>
      </c>
      <c r="B24" s="1" t="s">
        <v>178</v>
      </c>
      <c r="C24" s="1">
        <v>84.9</v>
      </c>
      <c r="D24" s="1" t="s">
        <v>124</v>
      </c>
      <c r="E24" s="1">
        <v>84.5</v>
      </c>
      <c r="F24" s="1" t="s">
        <v>150</v>
      </c>
      <c r="G24" s="1">
        <v>85.5</v>
      </c>
      <c r="H24" s="1" t="s">
        <v>146</v>
      </c>
      <c r="I24" s="1">
        <v>90.1</v>
      </c>
      <c r="J24" s="1" t="s">
        <v>212</v>
      </c>
      <c r="K24" s="1">
        <v>87.8</v>
      </c>
    </row>
    <row r="25" ht="15" customHeight="1" spans="1:11">
      <c r="A25" s="5" t="s">
        <v>82</v>
      </c>
      <c r="B25" s="6">
        <v>92.015</v>
      </c>
      <c r="C25" s="1"/>
      <c r="D25" s="8">
        <v>91.105</v>
      </c>
      <c r="E25" s="1"/>
      <c r="F25" s="6">
        <v>92.19</v>
      </c>
      <c r="G25" s="1"/>
      <c r="H25" s="7">
        <v>94.05</v>
      </c>
      <c r="I25" s="1"/>
      <c r="J25" s="6">
        <v>92.13</v>
      </c>
      <c r="K25" s="1"/>
    </row>
    <row r="26" ht="15" customHeight="1" spans="1:11">
      <c r="A26" s="4">
        <v>21</v>
      </c>
      <c r="B26" s="1" t="s">
        <v>113</v>
      </c>
      <c r="C26" s="1">
        <v>84.5</v>
      </c>
      <c r="D26" s="1" t="s">
        <v>209</v>
      </c>
      <c r="E26" s="1">
        <v>82.7</v>
      </c>
      <c r="F26" s="1" t="s">
        <v>175</v>
      </c>
      <c r="G26" s="1">
        <v>84.8</v>
      </c>
      <c r="H26" s="1" t="s">
        <v>191</v>
      </c>
      <c r="I26" s="1">
        <v>89.7</v>
      </c>
      <c r="J26" s="1" t="s">
        <v>107</v>
      </c>
      <c r="K26" s="1">
        <v>87.4</v>
      </c>
    </row>
    <row r="27" ht="15" customHeight="1" spans="1:11">
      <c r="A27" s="4">
        <v>22</v>
      </c>
      <c r="B27" s="1" t="s">
        <v>148</v>
      </c>
      <c r="C27" s="1">
        <v>84</v>
      </c>
      <c r="D27" s="1" t="s">
        <v>184</v>
      </c>
      <c r="E27" s="1">
        <v>82.1</v>
      </c>
      <c r="F27" s="1" t="s">
        <v>155</v>
      </c>
      <c r="G27" s="1">
        <v>84.5</v>
      </c>
      <c r="H27" s="1" t="s">
        <v>181</v>
      </c>
      <c r="I27" s="1">
        <v>87.5</v>
      </c>
      <c r="J27" s="1" t="s">
        <v>177</v>
      </c>
      <c r="K27" s="1">
        <v>87.2</v>
      </c>
    </row>
    <row r="28" ht="15" customHeight="1" spans="1:11">
      <c r="A28" s="4">
        <v>23</v>
      </c>
      <c r="B28" s="1" t="s">
        <v>98</v>
      </c>
      <c r="C28" s="1">
        <v>83.7</v>
      </c>
      <c r="D28" s="1" t="s">
        <v>204</v>
      </c>
      <c r="E28" s="1">
        <v>78.2</v>
      </c>
      <c r="F28" s="1" t="s">
        <v>170</v>
      </c>
      <c r="G28" s="1">
        <v>84.5</v>
      </c>
      <c r="H28" s="1" t="s">
        <v>151</v>
      </c>
      <c r="I28" s="1">
        <v>87.4</v>
      </c>
      <c r="J28" s="1" t="s">
        <v>152</v>
      </c>
      <c r="K28" s="1">
        <v>87.1</v>
      </c>
    </row>
    <row r="29" ht="15" customHeight="1" spans="1:11">
      <c r="A29" s="4">
        <v>24</v>
      </c>
      <c r="B29" s="1" t="s">
        <v>138</v>
      </c>
      <c r="C29" s="1">
        <v>82.3</v>
      </c>
      <c r="D29" s="1" t="s">
        <v>159</v>
      </c>
      <c r="E29" s="1">
        <v>77.9</v>
      </c>
      <c r="F29" s="1" t="s">
        <v>235</v>
      </c>
      <c r="G29" s="1">
        <v>82.9</v>
      </c>
      <c r="H29" s="1" t="s">
        <v>186</v>
      </c>
      <c r="I29" s="1">
        <v>87.2</v>
      </c>
      <c r="J29" s="1" t="s">
        <v>157</v>
      </c>
      <c r="K29" s="1">
        <v>85.7</v>
      </c>
    </row>
    <row r="30" ht="15" customHeight="1" spans="1:11">
      <c r="A30" s="4">
        <v>25</v>
      </c>
      <c r="B30" s="1" t="s">
        <v>153</v>
      </c>
      <c r="C30" s="1">
        <v>82</v>
      </c>
      <c r="D30" s="1" t="s">
        <v>194</v>
      </c>
      <c r="E30" s="1">
        <v>77.9</v>
      </c>
      <c r="F30" s="1" t="s">
        <v>130</v>
      </c>
      <c r="G30" s="1">
        <v>81.7</v>
      </c>
      <c r="H30" s="1" t="s">
        <v>141</v>
      </c>
      <c r="I30" s="1">
        <v>86.5</v>
      </c>
      <c r="J30" s="1" t="s">
        <v>182</v>
      </c>
      <c r="K30" s="1">
        <v>84.2</v>
      </c>
    </row>
    <row r="31" ht="15" customHeight="1" spans="1:11">
      <c r="A31" s="5" t="s">
        <v>82</v>
      </c>
      <c r="B31" s="6">
        <v>90.272</v>
      </c>
      <c r="C31" s="1"/>
      <c r="D31" s="8">
        <v>88.836</v>
      </c>
      <c r="E31" s="1"/>
      <c r="F31" s="6">
        <v>90.488</v>
      </c>
      <c r="G31" s="1"/>
      <c r="H31" s="7">
        <v>92.772</v>
      </c>
      <c r="I31" s="1"/>
      <c r="J31" s="6">
        <v>90.968</v>
      </c>
      <c r="K31" s="1"/>
    </row>
    <row r="32" ht="15" customHeight="1" spans="1:11">
      <c r="A32" s="4">
        <v>26</v>
      </c>
      <c r="B32" s="1" t="s">
        <v>193</v>
      </c>
      <c r="C32" s="1">
        <v>81.1</v>
      </c>
      <c r="D32" s="1" t="s">
        <v>189</v>
      </c>
      <c r="E32" s="1">
        <v>75.7</v>
      </c>
      <c r="F32" s="1" t="s">
        <v>135</v>
      </c>
      <c r="G32" s="1">
        <v>81.7</v>
      </c>
      <c r="H32" s="1" t="s">
        <v>111</v>
      </c>
      <c r="I32" s="1">
        <v>85</v>
      </c>
      <c r="J32" s="1" t="s">
        <v>192</v>
      </c>
      <c r="K32" s="1">
        <v>84</v>
      </c>
    </row>
    <row r="33" ht="15" customHeight="1" spans="1:11">
      <c r="A33" s="4">
        <v>27</v>
      </c>
      <c r="B33" s="1" t="s">
        <v>213</v>
      </c>
      <c r="C33" s="1">
        <v>80.9</v>
      </c>
      <c r="D33" s="1" t="s">
        <v>169</v>
      </c>
      <c r="E33" s="1">
        <v>75.2</v>
      </c>
      <c r="F33" s="1" t="s">
        <v>140</v>
      </c>
      <c r="G33" s="1">
        <v>81.4</v>
      </c>
      <c r="H33" s="1" t="s">
        <v>176</v>
      </c>
      <c r="I33" s="1">
        <v>85</v>
      </c>
      <c r="J33" s="1" t="s">
        <v>132</v>
      </c>
      <c r="K33" s="1">
        <v>82.5</v>
      </c>
    </row>
    <row r="34" ht="15" customHeight="1" spans="1:11">
      <c r="A34" s="4">
        <v>28</v>
      </c>
      <c r="B34" s="1" t="s">
        <v>233</v>
      </c>
      <c r="C34" s="1">
        <v>80.8</v>
      </c>
      <c r="D34" s="1" t="s">
        <v>154</v>
      </c>
      <c r="E34" s="1">
        <v>74.3</v>
      </c>
      <c r="F34" s="1" t="s">
        <v>195</v>
      </c>
      <c r="G34" s="1">
        <v>80.9</v>
      </c>
      <c r="H34" s="1" t="s">
        <v>216</v>
      </c>
      <c r="I34" s="1">
        <v>84.3</v>
      </c>
      <c r="J34" s="1" t="s">
        <v>172</v>
      </c>
      <c r="K34" s="1">
        <v>81.4</v>
      </c>
    </row>
    <row r="35" ht="15" customHeight="1" spans="1:11">
      <c r="A35" s="4">
        <v>29</v>
      </c>
      <c r="B35" s="1" t="s">
        <v>183</v>
      </c>
      <c r="C35" s="1">
        <v>80.6</v>
      </c>
      <c r="D35" s="1" t="s">
        <v>174</v>
      </c>
      <c r="E35" s="1">
        <v>73.7</v>
      </c>
      <c r="F35" s="1" t="s">
        <v>190</v>
      </c>
      <c r="G35" s="1">
        <v>80.7</v>
      </c>
      <c r="H35" s="1" t="s">
        <v>156</v>
      </c>
      <c r="I35" s="1">
        <v>84.1</v>
      </c>
      <c r="J35" s="1" t="s">
        <v>217</v>
      </c>
      <c r="K35" s="1">
        <v>78.3</v>
      </c>
    </row>
    <row r="36" ht="15" customHeight="1" spans="1:11">
      <c r="A36" s="4">
        <v>30</v>
      </c>
      <c r="B36" s="1" t="s">
        <v>198</v>
      </c>
      <c r="C36" s="1">
        <v>80.1</v>
      </c>
      <c r="D36" s="1" t="s">
        <v>199</v>
      </c>
      <c r="E36" s="1">
        <v>72.5</v>
      </c>
      <c r="F36" s="1" t="s">
        <v>205</v>
      </c>
      <c r="G36" s="1">
        <v>74.4</v>
      </c>
      <c r="H36" s="1" t="s">
        <v>196</v>
      </c>
      <c r="I36" s="1">
        <v>82.6</v>
      </c>
      <c r="J36" s="1" t="s">
        <v>232</v>
      </c>
      <c r="K36" s="1">
        <v>75.4</v>
      </c>
    </row>
    <row r="37" ht="15" customHeight="1" spans="1:11">
      <c r="A37" s="5" t="s">
        <v>82</v>
      </c>
      <c r="B37" s="6">
        <v>88.6766666666667</v>
      </c>
      <c r="C37" s="1"/>
      <c r="D37" s="8">
        <v>86.41</v>
      </c>
      <c r="E37" s="1"/>
      <c r="F37" s="6">
        <v>88.71</v>
      </c>
      <c r="G37" s="1"/>
      <c r="H37" s="7">
        <v>91.3433333333333</v>
      </c>
      <c r="I37" s="1"/>
      <c r="J37" s="6">
        <v>89.1933333333333</v>
      </c>
      <c r="K37" s="1"/>
    </row>
    <row r="38" ht="15" customHeight="1" spans="1:11">
      <c r="A38" s="4">
        <v>31</v>
      </c>
      <c r="B38" s="1" t="s">
        <v>203</v>
      </c>
      <c r="C38" s="1">
        <v>80</v>
      </c>
      <c r="D38" s="1" t="s">
        <v>214</v>
      </c>
      <c r="E38" s="1">
        <v>68.8</v>
      </c>
      <c r="F38" s="1" t="s">
        <v>225</v>
      </c>
      <c r="G38" s="1">
        <v>74.4</v>
      </c>
      <c r="H38" s="1" t="s">
        <v>226</v>
      </c>
      <c r="I38" s="1">
        <v>81.5</v>
      </c>
      <c r="J38" s="1" t="s">
        <v>187</v>
      </c>
      <c r="K38" s="1">
        <v>70.8</v>
      </c>
    </row>
    <row r="39" ht="15" customHeight="1" spans="1:11">
      <c r="A39" s="4">
        <v>32</v>
      </c>
      <c r="B39" s="1" t="s">
        <v>208</v>
      </c>
      <c r="C39" s="1">
        <v>75.7</v>
      </c>
      <c r="D39" s="1" t="s">
        <v>179</v>
      </c>
      <c r="E39" s="1">
        <v>67.5</v>
      </c>
      <c r="F39" s="1" t="s">
        <v>215</v>
      </c>
      <c r="G39" s="1">
        <v>72.6</v>
      </c>
      <c r="H39" s="1" t="s">
        <v>211</v>
      </c>
      <c r="I39" s="1">
        <v>80.4</v>
      </c>
      <c r="J39" s="1" t="s">
        <v>202</v>
      </c>
      <c r="K39" s="1">
        <v>70.3</v>
      </c>
    </row>
    <row r="40" ht="15" customHeight="1" spans="1:11">
      <c r="A40" s="4">
        <v>33</v>
      </c>
      <c r="B40" s="1" t="s">
        <v>188</v>
      </c>
      <c r="C40" s="1">
        <v>70.6</v>
      </c>
      <c r="D40" s="1" t="s">
        <v>219</v>
      </c>
      <c r="E40" s="1">
        <v>66.6</v>
      </c>
      <c r="F40" s="1" t="s">
        <v>245</v>
      </c>
      <c r="G40" s="1">
        <v>68.6</v>
      </c>
      <c r="H40" s="1" t="s">
        <v>241</v>
      </c>
      <c r="I40" s="1">
        <v>79.9</v>
      </c>
      <c r="J40" s="1" t="s">
        <v>207</v>
      </c>
      <c r="K40" s="1">
        <v>68</v>
      </c>
    </row>
    <row r="41" ht="15" customHeight="1" spans="1:11">
      <c r="A41" s="4">
        <v>34</v>
      </c>
      <c r="B41" s="1" t="s">
        <v>223</v>
      </c>
      <c r="C41" s="1">
        <v>64.6</v>
      </c>
      <c r="D41" s="1" t="s">
        <v>229</v>
      </c>
      <c r="E41" s="1">
        <v>64.3</v>
      </c>
      <c r="F41" s="1" t="s">
        <v>200</v>
      </c>
      <c r="G41" s="1">
        <v>67.2</v>
      </c>
      <c r="H41" s="1" t="s">
        <v>236</v>
      </c>
      <c r="I41" s="1">
        <v>78.7</v>
      </c>
      <c r="J41" s="1" t="s">
        <v>227</v>
      </c>
      <c r="K41" s="1">
        <v>67.3</v>
      </c>
    </row>
    <row r="42" ht="15" customHeight="1" spans="1:11">
      <c r="A42" s="4">
        <v>35</v>
      </c>
      <c r="B42" s="1" t="s">
        <v>228</v>
      </c>
      <c r="C42" s="1">
        <v>63.4</v>
      </c>
      <c r="D42" s="1" t="s">
        <v>224</v>
      </c>
      <c r="E42" s="1">
        <v>64.1</v>
      </c>
      <c r="F42" s="1" t="s">
        <v>210</v>
      </c>
      <c r="G42" s="1">
        <v>65</v>
      </c>
      <c r="H42" s="1" t="s">
        <v>201</v>
      </c>
      <c r="I42" s="1">
        <v>77.2</v>
      </c>
      <c r="J42" s="1" t="s">
        <v>197</v>
      </c>
      <c r="K42" s="1">
        <v>66.9</v>
      </c>
    </row>
    <row r="43" ht="15" customHeight="1" spans="1:11">
      <c r="A43" s="5" t="s">
        <v>82</v>
      </c>
      <c r="B43" s="6">
        <v>86.1314285714286</v>
      </c>
      <c r="C43" s="1"/>
      <c r="D43" s="8">
        <v>83.5314285714286</v>
      </c>
      <c r="E43" s="1"/>
      <c r="F43" s="6">
        <v>85.9742857142857</v>
      </c>
      <c r="G43" s="1"/>
      <c r="H43" s="7">
        <v>89.6571428571429</v>
      </c>
      <c r="I43" s="1"/>
      <c r="J43" s="6">
        <v>86.26</v>
      </c>
      <c r="K43" s="1"/>
    </row>
    <row r="44" ht="15" customHeight="1" spans="1:11">
      <c r="A44" s="4">
        <v>36</v>
      </c>
      <c r="B44" s="1" t="s">
        <v>243</v>
      </c>
      <c r="C44" s="1">
        <v>62</v>
      </c>
      <c r="D44" s="1" t="s">
        <v>244</v>
      </c>
      <c r="E44" s="1">
        <v>60</v>
      </c>
      <c r="F44" s="1" t="s">
        <v>240</v>
      </c>
      <c r="G44" s="1">
        <v>62.8</v>
      </c>
      <c r="H44" s="1" t="s">
        <v>221</v>
      </c>
      <c r="I44" s="1">
        <v>68.9</v>
      </c>
      <c r="J44" s="1" t="s">
        <v>242</v>
      </c>
      <c r="K44" s="1">
        <v>59.5</v>
      </c>
    </row>
    <row r="45" ht="15" customHeight="1" spans="1:11">
      <c r="A45" s="4">
        <v>37</v>
      </c>
      <c r="B45" s="1" t="s">
        <v>253</v>
      </c>
      <c r="C45" s="1">
        <v>50.4</v>
      </c>
      <c r="D45" s="1" t="s">
        <v>234</v>
      </c>
      <c r="E45" s="1">
        <v>57.4</v>
      </c>
      <c r="F45" s="1" t="s">
        <v>250</v>
      </c>
      <c r="G45" s="1">
        <v>62.3</v>
      </c>
      <c r="H45" s="1" t="s">
        <v>271</v>
      </c>
      <c r="I45" s="1">
        <v>56.4</v>
      </c>
      <c r="J45" s="1" t="s">
        <v>237</v>
      </c>
      <c r="K45" s="1">
        <v>56.3</v>
      </c>
    </row>
    <row r="46" ht="15" customHeight="1" spans="1:11">
      <c r="A46" s="4">
        <v>38</v>
      </c>
      <c r="B46" s="1" t="s">
        <v>258</v>
      </c>
      <c r="C46" s="1">
        <v>48.9</v>
      </c>
      <c r="D46" s="1" t="s">
        <v>254</v>
      </c>
      <c r="E46" s="1">
        <v>51.4</v>
      </c>
      <c r="F46" s="1" t="s">
        <v>275</v>
      </c>
      <c r="G46" s="1">
        <v>58.1</v>
      </c>
      <c r="H46" s="1" t="s">
        <v>261</v>
      </c>
      <c r="I46" s="1">
        <v>54.6</v>
      </c>
      <c r="J46" s="1" t="s">
        <v>247</v>
      </c>
      <c r="K46" s="1">
        <v>45.7</v>
      </c>
    </row>
    <row r="47" ht="15" customHeight="1" spans="1:11">
      <c r="A47" s="4">
        <v>39</v>
      </c>
      <c r="B47" s="1" t="s">
        <v>218</v>
      </c>
      <c r="C47" s="1">
        <v>47.4</v>
      </c>
      <c r="D47" s="1" t="s">
        <v>239</v>
      </c>
      <c r="E47" s="1">
        <v>49.1</v>
      </c>
      <c r="F47" s="1" t="s">
        <v>220</v>
      </c>
      <c r="G47" s="1">
        <v>54.7</v>
      </c>
      <c r="H47" s="1" t="s">
        <v>231</v>
      </c>
      <c r="I47" s="1">
        <v>47.7</v>
      </c>
      <c r="J47" s="1" t="s">
        <v>257</v>
      </c>
      <c r="K47" s="1">
        <v>44.7</v>
      </c>
    </row>
    <row r="48" ht="15" customHeight="1" spans="1:11">
      <c r="A48" s="4">
        <v>40</v>
      </c>
      <c r="B48" s="1" t="s">
        <v>238</v>
      </c>
      <c r="C48" s="1">
        <v>46.4</v>
      </c>
      <c r="D48" s="1" t="s">
        <v>264</v>
      </c>
      <c r="E48" s="1">
        <v>41.2</v>
      </c>
      <c r="F48" s="1" t="s">
        <v>265</v>
      </c>
      <c r="G48" s="1">
        <v>52.4</v>
      </c>
      <c r="H48" s="1" t="s">
        <v>246</v>
      </c>
      <c r="I48" s="1">
        <v>47.6</v>
      </c>
      <c r="J48" s="1" t="s">
        <v>252</v>
      </c>
      <c r="K48" s="1">
        <v>40.1</v>
      </c>
    </row>
    <row r="49" ht="15" customHeight="1" spans="1:11">
      <c r="A49" s="5" t="s">
        <v>82</v>
      </c>
      <c r="B49" s="6">
        <v>81.7425</v>
      </c>
      <c r="C49" s="1"/>
      <c r="D49" s="8">
        <v>79.5675</v>
      </c>
      <c r="E49" s="1"/>
      <c r="F49" s="6">
        <v>82.485</v>
      </c>
      <c r="G49" s="1"/>
      <c r="H49" s="7">
        <v>85.33</v>
      </c>
      <c r="I49" s="1"/>
      <c r="J49" s="6">
        <v>81.635</v>
      </c>
      <c r="K49" s="1"/>
    </row>
    <row r="50" ht="15" customHeight="1" spans="1:11">
      <c r="A50" s="4">
        <v>41</v>
      </c>
      <c r="B50" s="1" t="s">
        <v>248</v>
      </c>
      <c r="C50" s="1">
        <v>35.3</v>
      </c>
      <c r="D50" s="1" t="s">
        <v>259</v>
      </c>
      <c r="E50" s="1">
        <v>35.2</v>
      </c>
      <c r="F50" s="1" t="s">
        <v>284</v>
      </c>
      <c r="G50" s="1">
        <v>48.1</v>
      </c>
      <c r="H50" s="1" t="s">
        <v>251</v>
      </c>
      <c r="I50" s="1">
        <v>40.8</v>
      </c>
      <c r="J50" s="1" t="s">
        <v>277</v>
      </c>
      <c r="K50" s="1">
        <v>37.9</v>
      </c>
    </row>
    <row r="51" ht="15" customHeight="1" spans="1:11">
      <c r="A51" s="4">
        <v>42</v>
      </c>
      <c r="B51" s="1" t="s">
        <v>268</v>
      </c>
      <c r="C51" s="1">
        <v>34.9</v>
      </c>
      <c r="D51" s="1" t="s">
        <v>269</v>
      </c>
      <c r="E51" s="1">
        <v>34.6</v>
      </c>
      <c r="F51" s="1" t="s">
        <v>280</v>
      </c>
      <c r="G51" s="1">
        <v>45.4</v>
      </c>
      <c r="H51" s="1" t="s">
        <v>266</v>
      </c>
      <c r="I51" s="1">
        <v>39.3</v>
      </c>
      <c r="J51" s="1" t="s">
        <v>262</v>
      </c>
      <c r="K51" s="1">
        <v>32.9</v>
      </c>
    </row>
    <row r="52" ht="15" customHeight="1" spans="1:11">
      <c r="A52" s="4">
        <v>43</v>
      </c>
      <c r="B52" s="1" t="s">
        <v>273</v>
      </c>
      <c r="C52" s="1">
        <v>30.7</v>
      </c>
      <c r="D52" s="1" t="s">
        <v>274</v>
      </c>
      <c r="E52" s="1">
        <v>28.1</v>
      </c>
      <c r="F52" s="1" t="s">
        <v>260</v>
      </c>
      <c r="G52" s="1">
        <v>44.7</v>
      </c>
      <c r="H52" s="1" t="s">
        <v>256</v>
      </c>
      <c r="I52" s="1">
        <v>38.8</v>
      </c>
      <c r="J52" s="1" t="s">
        <v>267</v>
      </c>
      <c r="K52" s="1">
        <v>24.1</v>
      </c>
    </row>
    <row r="53" ht="15" customHeight="1" spans="1:11">
      <c r="A53" s="4">
        <v>44</v>
      </c>
      <c r="B53" s="1" t="s">
        <v>263</v>
      </c>
      <c r="C53" s="1">
        <v>28.4</v>
      </c>
      <c r="D53" s="1" t="s">
        <v>249</v>
      </c>
      <c r="E53" s="1">
        <v>24.8</v>
      </c>
      <c r="F53" s="1" t="s">
        <v>255</v>
      </c>
      <c r="G53" s="1">
        <v>41.2</v>
      </c>
      <c r="H53" s="1" t="s">
        <v>276</v>
      </c>
      <c r="I53" s="1">
        <v>28.2</v>
      </c>
      <c r="J53" s="1" t="s">
        <v>272</v>
      </c>
      <c r="K53" s="1">
        <v>19</v>
      </c>
    </row>
    <row r="54" ht="15" customHeight="1" spans="1:11">
      <c r="A54" s="4">
        <v>45</v>
      </c>
      <c r="B54" s="1" t="s">
        <v>278</v>
      </c>
      <c r="C54" s="1">
        <v>20.8</v>
      </c>
      <c r="D54" s="1" t="s">
        <v>279</v>
      </c>
      <c r="E54" s="1">
        <v>17</v>
      </c>
      <c r="F54" s="1" t="s">
        <v>230</v>
      </c>
      <c r="G54" s="1">
        <v>30.9</v>
      </c>
      <c r="H54" s="1" t="s">
        <v>283</v>
      </c>
      <c r="I54" s="1">
        <v>25.2</v>
      </c>
      <c r="J54" s="1"/>
      <c r="K54" s="1"/>
    </row>
    <row r="55" ht="15" customHeight="1" spans="1:11">
      <c r="A55" s="5" t="s">
        <v>82</v>
      </c>
      <c r="B55" s="6">
        <v>75.9955555555556</v>
      </c>
      <c r="C55" s="1"/>
      <c r="D55" s="8">
        <v>73.8311111111111</v>
      </c>
      <c r="E55" s="1"/>
      <c r="F55" s="6">
        <v>77.9933333333333</v>
      </c>
      <c r="G55" s="1"/>
      <c r="H55" s="7">
        <v>79.6777777777778</v>
      </c>
      <c r="I55" s="1"/>
      <c r="J55" s="6">
        <v>76.8022727272727</v>
      </c>
      <c r="K55" s="1"/>
    </row>
    <row r="56" ht="15" customHeight="1" spans="1:11">
      <c r="A56" s="4">
        <v>46</v>
      </c>
      <c r="B56" s="1"/>
      <c r="C56" s="1"/>
      <c r="D56" s="1"/>
      <c r="E56" s="1"/>
      <c r="F56" s="1" t="s">
        <v>270</v>
      </c>
      <c r="G56" s="1">
        <v>30.8</v>
      </c>
      <c r="H56" s="1" t="s">
        <v>281</v>
      </c>
      <c r="I56" s="1">
        <v>24.9</v>
      </c>
      <c r="J56" s="1"/>
      <c r="K56" s="1"/>
    </row>
    <row r="57" ht="15" customHeight="1" spans="1:11">
      <c r="A57" s="4">
        <v>47</v>
      </c>
      <c r="B57" s="1"/>
      <c r="C57" s="1"/>
      <c r="D57" s="1"/>
      <c r="E57" s="1"/>
      <c r="F57" s="1" t="s">
        <v>282</v>
      </c>
      <c r="G57" s="1">
        <v>29.8</v>
      </c>
      <c r="H57" s="1"/>
      <c r="I57" s="1"/>
      <c r="J57" s="1"/>
      <c r="K57" s="1"/>
    </row>
    <row r="58" ht="15" customHeight="1" spans="1:11">
      <c r="A58" s="4">
        <v>48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" customHeight="1" spans="1:11">
      <c r="A59" s="4">
        <v>49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" customHeight="1" spans="1:11">
      <c r="A60" s="4">
        <v>50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" customHeight="1" spans="1:11">
      <c r="A61" s="5" t="s">
        <v>82</v>
      </c>
      <c r="B61" s="6">
        <v>75.9955555555556</v>
      </c>
      <c r="C61" s="1"/>
      <c r="D61" s="8">
        <v>73.8311111111111</v>
      </c>
      <c r="E61" s="1"/>
      <c r="F61" s="6">
        <v>75.963829787234</v>
      </c>
      <c r="G61" s="1"/>
      <c r="H61" s="7">
        <v>78.4869565217391</v>
      </c>
      <c r="I61" s="1"/>
      <c r="J61" s="6">
        <v>76.8022727272727</v>
      </c>
      <c r="K61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showGridLines="0" workbookViewId="0">
      <selection activeCell="A1" sqref="A1"/>
    </sheetView>
  </sheetViews>
  <sheetFormatPr defaultColWidth="9" defaultRowHeight="13.5"/>
  <sheetData>
    <row r="1" ht="15" customHeight="1" spans="1:11">
      <c r="A1" s="4" t="s">
        <v>50</v>
      </c>
      <c r="B1" s="4" t="s">
        <v>51</v>
      </c>
      <c r="C1" s="4" t="s">
        <v>25</v>
      </c>
      <c r="D1" s="4" t="s">
        <v>53</v>
      </c>
      <c r="E1" s="4" t="s">
        <v>25</v>
      </c>
      <c r="F1" s="4" t="s">
        <v>54</v>
      </c>
      <c r="G1" s="4" t="s">
        <v>25</v>
      </c>
      <c r="H1" s="4" t="s">
        <v>55</v>
      </c>
      <c r="I1" s="4" t="s">
        <v>25</v>
      </c>
      <c r="J1" s="4" t="s">
        <v>56</v>
      </c>
      <c r="K1" s="4" t="s">
        <v>25</v>
      </c>
    </row>
    <row r="2" ht="15" customHeight="1" spans="1:11">
      <c r="A2" s="4">
        <v>1</v>
      </c>
      <c r="B2" s="1" t="s">
        <v>57</v>
      </c>
      <c r="C2" s="1">
        <v>69</v>
      </c>
      <c r="D2" s="1" t="s">
        <v>68</v>
      </c>
      <c r="E2" s="1">
        <v>67</v>
      </c>
      <c r="F2" s="1" t="s">
        <v>59</v>
      </c>
      <c r="G2" s="1">
        <v>66.5</v>
      </c>
      <c r="H2" s="1" t="s">
        <v>70</v>
      </c>
      <c r="I2" s="1">
        <v>67</v>
      </c>
      <c r="J2" s="1" t="s">
        <v>71</v>
      </c>
      <c r="K2" s="1">
        <v>66.5</v>
      </c>
    </row>
    <row r="3" ht="15" customHeight="1" spans="1:11">
      <c r="A3" s="4">
        <v>2</v>
      </c>
      <c r="B3" s="1" t="s">
        <v>98</v>
      </c>
      <c r="C3" s="1">
        <v>69</v>
      </c>
      <c r="D3" s="1" t="s">
        <v>78</v>
      </c>
      <c r="E3" s="1">
        <v>65.5</v>
      </c>
      <c r="F3" s="1" t="s">
        <v>64</v>
      </c>
      <c r="G3" s="1">
        <v>64.5</v>
      </c>
      <c r="H3" s="1" t="s">
        <v>60</v>
      </c>
      <c r="I3" s="1">
        <v>66.5</v>
      </c>
      <c r="J3" s="1" t="s">
        <v>61</v>
      </c>
      <c r="K3" s="1">
        <v>65</v>
      </c>
    </row>
    <row r="4" ht="15" customHeight="1" spans="1:11">
      <c r="A4" s="4">
        <v>3</v>
      </c>
      <c r="B4" s="1" t="s">
        <v>72</v>
      </c>
      <c r="C4" s="1">
        <v>67</v>
      </c>
      <c r="D4" s="1" t="s">
        <v>73</v>
      </c>
      <c r="E4" s="1">
        <v>63.5</v>
      </c>
      <c r="F4" s="1" t="s">
        <v>79</v>
      </c>
      <c r="G4" s="1">
        <v>64.5</v>
      </c>
      <c r="H4" s="1" t="s">
        <v>80</v>
      </c>
      <c r="I4" s="1">
        <v>66.5</v>
      </c>
      <c r="J4" s="1" t="s">
        <v>107</v>
      </c>
      <c r="K4" s="1">
        <v>65</v>
      </c>
    </row>
    <row r="5" ht="15" customHeight="1" spans="1:11">
      <c r="A5" s="4">
        <v>4</v>
      </c>
      <c r="B5" s="1" t="s">
        <v>62</v>
      </c>
      <c r="C5" s="1">
        <v>66</v>
      </c>
      <c r="D5" s="1" t="s">
        <v>154</v>
      </c>
      <c r="E5" s="1">
        <v>63.5</v>
      </c>
      <c r="F5" s="1" t="s">
        <v>120</v>
      </c>
      <c r="G5" s="1">
        <v>64.5</v>
      </c>
      <c r="H5" s="1" t="s">
        <v>91</v>
      </c>
      <c r="I5" s="1">
        <v>66</v>
      </c>
      <c r="J5" s="1" t="s">
        <v>81</v>
      </c>
      <c r="K5" s="1">
        <v>64.5</v>
      </c>
    </row>
    <row r="6" ht="15" customHeight="1" spans="1:11">
      <c r="A6" s="4">
        <v>5</v>
      </c>
      <c r="B6" s="1" t="s">
        <v>67</v>
      </c>
      <c r="C6" s="1">
        <v>66</v>
      </c>
      <c r="D6" s="1" t="s">
        <v>84</v>
      </c>
      <c r="E6" s="1">
        <v>63</v>
      </c>
      <c r="F6" s="1" t="s">
        <v>165</v>
      </c>
      <c r="G6" s="1">
        <v>64.5</v>
      </c>
      <c r="H6" s="1" t="s">
        <v>86</v>
      </c>
      <c r="I6" s="1">
        <v>64.5</v>
      </c>
      <c r="J6" s="1" t="s">
        <v>117</v>
      </c>
      <c r="K6" s="1">
        <v>64</v>
      </c>
    </row>
    <row r="7" ht="15" customHeight="1" spans="1:11">
      <c r="A7" s="5" t="s">
        <v>82</v>
      </c>
      <c r="B7" s="7">
        <v>67.4</v>
      </c>
      <c r="C7" s="1"/>
      <c r="D7" s="8">
        <v>64.5</v>
      </c>
      <c r="E7" s="1"/>
      <c r="F7" s="6">
        <v>64.9</v>
      </c>
      <c r="G7" s="1"/>
      <c r="H7" s="6">
        <v>66.1</v>
      </c>
      <c r="I7" s="1"/>
      <c r="J7" s="6">
        <v>65</v>
      </c>
      <c r="K7" s="1"/>
    </row>
    <row r="8" ht="15" customHeight="1" spans="1:11">
      <c r="A8" s="4">
        <v>6</v>
      </c>
      <c r="B8" s="1" t="s">
        <v>113</v>
      </c>
      <c r="C8" s="1">
        <v>65</v>
      </c>
      <c r="D8" s="1" t="s">
        <v>134</v>
      </c>
      <c r="E8" s="1">
        <v>63</v>
      </c>
      <c r="F8" s="1" t="s">
        <v>95</v>
      </c>
      <c r="G8" s="1">
        <v>64</v>
      </c>
      <c r="H8" s="1" t="s">
        <v>121</v>
      </c>
      <c r="I8" s="1">
        <v>64.5</v>
      </c>
      <c r="J8" s="1" t="s">
        <v>66</v>
      </c>
      <c r="K8" s="1">
        <v>63.5</v>
      </c>
    </row>
    <row r="9" ht="15" customHeight="1" spans="1:11">
      <c r="A9" s="4">
        <v>7</v>
      </c>
      <c r="B9" s="1" t="s">
        <v>138</v>
      </c>
      <c r="C9" s="1">
        <v>64</v>
      </c>
      <c r="D9" s="1" t="s">
        <v>63</v>
      </c>
      <c r="E9" s="1">
        <v>62.5</v>
      </c>
      <c r="F9" s="1" t="s">
        <v>155</v>
      </c>
      <c r="G9" s="1">
        <v>64</v>
      </c>
      <c r="H9" s="1" t="s">
        <v>106</v>
      </c>
      <c r="I9" s="1">
        <v>64</v>
      </c>
      <c r="J9" s="1" t="s">
        <v>76</v>
      </c>
      <c r="K9" s="1">
        <v>61.5</v>
      </c>
    </row>
    <row r="10" ht="15" customHeight="1" spans="1:11">
      <c r="A10" s="4">
        <v>8</v>
      </c>
      <c r="B10" s="1" t="s">
        <v>148</v>
      </c>
      <c r="C10" s="1">
        <v>63</v>
      </c>
      <c r="D10" s="1" t="s">
        <v>58</v>
      </c>
      <c r="E10" s="1">
        <v>62</v>
      </c>
      <c r="F10" s="1" t="s">
        <v>74</v>
      </c>
      <c r="G10" s="1">
        <v>63.5</v>
      </c>
      <c r="H10" s="1" t="s">
        <v>126</v>
      </c>
      <c r="I10" s="1">
        <v>64</v>
      </c>
      <c r="J10" s="1" t="s">
        <v>92</v>
      </c>
      <c r="K10" s="1">
        <v>60</v>
      </c>
    </row>
    <row r="11" ht="15" customHeight="1" spans="1:11">
      <c r="A11" s="4">
        <v>9</v>
      </c>
      <c r="B11" s="1" t="s">
        <v>103</v>
      </c>
      <c r="C11" s="1">
        <v>62.5</v>
      </c>
      <c r="D11" s="1" t="s">
        <v>124</v>
      </c>
      <c r="E11" s="1">
        <v>61.5</v>
      </c>
      <c r="F11" s="1" t="s">
        <v>100</v>
      </c>
      <c r="G11" s="1">
        <v>63.5</v>
      </c>
      <c r="H11" s="1" t="s">
        <v>136</v>
      </c>
      <c r="I11" s="1">
        <v>64</v>
      </c>
      <c r="J11" s="1" t="s">
        <v>112</v>
      </c>
      <c r="K11" s="1">
        <v>60</v>
      </c>
    </row>
    <row r="12" ht="15" customHeight="1" spans="1:11">
      <c r="A12" s="4">
        <v>10</v>
      </c>
      <c r="B12" s="1" t="s">
        <v>118</v>
      </c>
      <c r="C12" s="1">
        <v>62.5</v>
      </c>
      <c r="D12" s="1" t="s">
        <v>144</v>
      </c>
      <c r="E12" s="1">
        <v>61.5</v>
      </c>
      <c r="F12" s="1" t="s">
        <v>115</v>
      </c>
      <c r="G12" s="1">
        <v>63.5</v>
      </c>
      <c r="H12" s="1" t="s">
        <v>75</v>
      </c>
      <c r="I12" s="1">
        <v>63.5</v>
      </c>
      <c r="J12" s="1" t="s">
        <v>142</v>
      </c>
      <c r="K12" s="1">
        <v>60</v>
      </c>
    </row>
    <row r="13" ht="15" customHeight="1" spans="1:11">
      <c r="A13" s="5" t="s">
        <v>82</v>
      </c>
      <c r="B13" s="7">
        <v>65.4</v>
      </c>
      <c r="C13" s="1"/>
      <c r="D13" s="6">
        <v>63.3</v>
      </c>
      <c r="E13" s="1"/>
      <c r="F13" s="6">
        <v>64.3</v>
      </c>
      <c r="G13" s="1"/>
      <c r="H13" s="6">
        <v>65.05</v>
      </c>
      <c r="I13" s="1"/>
      <c r="J13" s="8">
        <v>63</v>
      </c>
      <c r="K13" s="1"/>
    </row>
    <row r="14" ht="15" customHeight="1" spans="1:11">
      <c r="A14" s="4">
        <v>11</v>
      </c>
      <c r="B14" s="1" t="s">
        <v>88</v>
      </c>
      <c r="C14" s="1">
        <v>62</v>
      </c>
      <c r="D14" s="1" t="s">
        <v>184</v>
      </c>
      <c r="E14" s="1">
        <v>61.5</v>
      </c>
      <c r="F14" s="1" t="s">
        <v>69</v>
      </c>
      <c r="G14" s="1">
        <v>63</v>
      </c>
      <c r="H14" s="1" t="s">
        <v>111</v>
      </c>
      <c r="I14" s="1">
        <v>63</v>
      </c>
      <c r="J14" s="1" t="s">
        <v>182</v>
      </c>
      <c r="K14" s="1">
        <v>60</v>
      </c>
    </row>
    <row r="15" ht="15" customHeight="1" spans="1:11">
      <c r="A15" s="4">
        <v>12</v>
      </c>
      <c r="B15" s="1" t="s">
        <v>123</v>
      </c>
      <c r="C15" s="1">
        <v>61.5</v>
      </c>
      <c r="D15" s="1" t="s">
        <v>89</v>
      </c>
      <c r="E15" s="1">
        <v>61</v>
      </c>
      <c r="F15" s="1" t="s">
        <v>85</v>
      </c>
      <c r="G15" s="1">
        <v>63</v>
      </c>
      <c r="H15" s="1" t="s">
        <v>65</v>
      </c>
      <c r="I15" s="1">
        <v>62.5</v>
      </c>
      <c r="J15" s="1" t="s">
        <v>187</v>
      </c>
      <c r="K15" s="1">
        <v>59.5</v>
      </c>
    </row>
    <row r="16" ht="15" customHeight="1" spans="1:11">
      <c r="A16" s="4">
        <v>13</v>
      </c>
      <c r="B16" s="1" t="s">
        <v>77</v>
      </c>
      <c r="C16" s="1">
        <v>61</v>
      </c>
      <c r="D16" s="1" t="s">
        <v>104</v>
      </c>
      <c r="E16" s="1">
        <v>61</v>
      </c>
      <c r="F16" s="1" t="s">
        <v>145</v>
      </c>
      <c r="G16" s="1">
        <v>63</v>
      </c>
      <c r="H16" s="1" t="s">
        <v>131</v>
      </c>
      <c r="I16" s="1">
        <v>62.5</v>
      </c>
      <c r="J16" s="1" t="s">
        <v>122</v>
      </c>
      <c r="K16" s="1">
        <v>59</v>
      </c>
    </row>
    <row r="17" ht="15" customHeight="1" spans="1:11">
      <c r="A17" s="4">
        <v>14</v>
      </c>
      <c r="B17" s="1" t="s">
        <v>83</v>
      </c>
      <c r="C17" s="1">
        <v>60.5</v>
      </c>
      <c r="D17" s="1" t="s">
        <v>119</v>
      </c>
      <c r="E17" s="1">
        <v>60.5</v>
      </c>
      <c r="F17" s="1" t="s">
        <v>135</v>
      </c>
      <c r="G17" s="1">
        <v>62</v>
      </c>
      <c r="H17" s="1" t="s">
        <v>176</v>
      </c>
      <c r="I17" s="1">
        <v>61</v>
      </c>
      <c r="J17" s="1" t="s">
        <v>152</v>
      </c>
      <c r="K17" s="1">
        <v>59</v>
      </c>
    </row>
    <row r="18" ht="15" customHeight="1" spans="1:11">
      <c r="A18" s="4">
        <v>15</v>
      </c>
      <c r="B18" s="1" t="s">
        <v>93</v>
      </c>
      <c r="C18" s="1">
        <v>60.5</v>
      </c>
      <c r="D18" s="1" t="s">
        <v>169</v>
      </c>
      <c r="E18" s="1">
        <v>60</v>
      </c>
      <c r="F18" s="1" t="s">
        <v>130</v>
      </c>
      <c r="G18" s="1">
        <v>61</v>
      </c>
      <c r="H18" s="1" t="s">
        <v>211</v>
      </c>
      <c r="I18" s="1">
        <v>60.5</v>
      </c>
      <c r="J18" s="1" t="s">
        <v>127</v>
      </c>
      <c r="K18" s="1">
        <v>58.5</v>
      </c>
    </row>
    <row r="19" ht="15" customHeight="1" spans="1:11">
      <c r="A19" s="5" t="s">
        <v>82</v>
      </c>
      <c r="B19" s="6">
        <v>63.9666666666667</v>
      </c>
      <c r="C19" s="1"/>
      <c r="D19" s="6">
        <v>62.4666666666667</v>
      </c>
      <c r="E19" s="1"/>
      <c r="F19" s="6">
        <v>63.6666666666667</v>
      </c>
      <c r="G19" s="1"/>
      <c r="H19" s="7">
        <v>64</v>
      </c>
      <c r="I19" s="1"/>
      <c r="J19" s="8">
        <v>61.7333333333333</v>
      </c>
      <c r="K19" s="1"/>
    </row>
    <row r="20" ht="15" customHeight="1" spans="1:11">
      <c r="A20" s="4">
        <v>16</v>
      </c>
      <c r="B20" s="1" t="s">
        <v>168</v>
      </c>
      <c r="C20" s="1">
        <v>60.5</v>
      </c>
      <c r="D20" s="1" t="s">
        <v>199</v>
      </c>
      <c r="E20" s="1">
        <v>59.5</v>
      </c>
      <c r="F20" s="1" t="s">
        <v>180</v>
      </c>
      <c r="G20" s="1">
        <v>61</v>
      </c>
      <c r="H20" s="1" t="s">
        <v>96</v>
      </c>
      <c r="I20" s="1">
        <v>60</v>
      </c>
      <c r="J20" s="1" t="s">
        <v>157</v>
      </c>
      <c r="K20" s="1">
        <v>58.5</v>
      </c>
    </row>
    <row r="21" ht="15" customHeight="1" spans="1:11">
      <c r="A21" s="4">
        <v>17</v>
      </c>
      <c r="B21" s="1" t="s">
        <v>158</v>
      </c>
      <c r="C21" s="1">
        <v>59.5</v>
      </c>
      <c r="D21" s="1" t="s">
        <v>109</v>
      </c>
      <c r="E21" s="1">
        <v>58.5</v>
      </c>
      <c r="F21" s="1" t="s">
        <v>110</v>
      </c>
      <c r="G21" s="1">
        <v>60.5</v>
      </c>
      <c r="H21" s="1" t="s">
        <v>101</v>
      </c>
      <c r="I21" s="1">
        <v>60</v>
      </c>
      <c r="J21" s="1" t="s">
        <v>97</v>
      </c>
      <c r="K21" s="1">
        <v>57.5</v>
      </c>
    </row>
    <row r="22" ht="15" customHeight="1" spans="1:11">
      <c r="A22" s="4">
        <v>18</v>
      </c>
      <c r="B22" s="1" t="s">
        <v>143</v>
      </c>
      <c r="C22" s="1">
        <v>59</v>
      </c>
      <c r="D22" s="1" t="s">
        <v>94</v>
      </c>
      <c r="E22" s="1">
        <v>58</v>
      </c>
      <c r="F22" s="1" t="s">
        <v>125</v>
      </c>
      <c r="G22" s="1">
        <v>60</v>
      </c>
      <c r="H22" s="1" t="s">
        <v>156</v>
      </c>
      <c r="I22" s="1">
        <v>60</v>
      </c>
      <c r="J22" s="1" t="s">
        <v>172</v>
      </c>
      <c r="K22" s="1">
        <v>57</v>
      </c>
    </row>
    <row r="23" ht="15" customHeight="1" spans="1:11">
      <c r="A23" s="4">
        <v>19</v>
      </c>
      <c r="B23" s="1" t="s">
        <v>263</v>
      </c>
      <c r="C23" s="1">
        <v>59</v>
      </c>
      <c r="D23" s="1" t="s">
        <v>99</v>
      </c>
      <c r="E23" s="1">
        <v>57.5</v>
      </c>
      <c r="F23" s="1" t="s">
        <v>190</v>
      </c>
      <c r="G23" s="1">
        <v>60</v>
      </c>
      <c r="H23" s="1" t="s">
        <v>181</v>
      </c>
      <c r="I23" s="1">
        <v>59</v>
      </c>
      <c r="J23" s="1" t="s">
        <v>177</v>
      </c>
      <c r="K23" s="1">
        <v>57</v>
      </c>
    </row>
    <row r="24" ht="15" customHeight="1" spans="1:11">
      <c r="A24" s="4">
        <v>20</v>
      </c>
      <c r="B24" s="1" t="s">
        <v>193</v>
      </c>
      <c r="C24" s="1">
        <v>58.5</v>
      </c>
      <c r="D24" s="1" t="s">
        <v>129</v>
      </c>
      <c r="E24" s="1">
        <v>57</v>
      </c>
      <c r="F24" s="1" t="s">
        <v>195</v>
      </c>
      <c r="G24" s="1">
        <v>60</v>
      </c>
      <c r="H24" s="1" t="s">
        <v>186</v>
      </c>
      <c r="I24" s="1">
        <v>59</v>
      </c>
      <c r="J24" s="1" t="s">
        <v>137</v>
      </c>
      <c r="K24" s="1">
        <v>56.5</v>
      </c>
    </row>
    <row r="25" ht="15" customHeight="1" spans="1:11">
      <c r="A25" s="5" t="s">
        <v>82</v>
      </c>
      <c r="B25" s="6">
        <v>62.8</v>
      </c>
      <c r="C25" s="1"/>
      <c r="D25" s="6">
        <v>61.375</v>
      </c>
      <c r="E25" s="1"/>
      <c r="F25" s="6">
        <v>62.825</v>
      </c>
      <c r="G25" s="1"/>
      <c r="H25" s="7">
        <v>62.9</v>
      </c>
      <c r="I25" s="1"/>
      <c r="J25" s="8">
        <v>60.625</v>
      </c>
      <c r="K25" s="1"/>
    </row>
    <row r="26" ht="15" customHeight="1" spans="1:11">
      <c r="A26" s="4">
        <v>21</v>
      </c>
      <c r="B26" s="1" t="s">
        <v>198</v>
      </c>
      <c r="C26" s="1">
        <v>58.5</v>
      </c>
      <c r="D26" s="1" t="s">
        <v>179</v>
      </c>
      <c r="E26" s="1">
        <v>57</v>
      </c>
      <c r="F26" s="1" t="s">
        <v>140</v>
      </c>
      <c r="G26" s="1">
        <v>59</v>
      </c>
      <c r="H26" s="1" t="s">
        <v>116</v>
      </c>
      <c r="I26" s="1">
        <v>57.5</v>
      </c>
      <c r="J26" s="1" t="s">
        <v>147</v>
      </c>
      <c r="K26" s="1">
        <v>56.5</v>
      </c>
    </row>
    <row r="27" ht="15" customHeight="1" spans="1:11">
      <c r="A27" s="4">
        <v>22</v>
      </c>
      <c r="B27" s="1" t="s">
        <v>188</v>
      </c>
      <c r="C27" s="1">
        <v>58</v>
      </c>
      <c r="D27" s="1" t="s">
        <v>139</v>
      </c>
      <c r="E27" s="1">
        <v>56</v>
      </c>
      <c r="F27" s="1" t="s">
        <v>150</v>
      </c>
      <c r="G27" s="1">
        <v>59</v>
      </c>
      <c r="H27" s="1" t="s">
        <v>141</v>
      </c>
      <c r="I27" s="1">
        <v>57.5</v>
      </c>
      <c r="J27" s="1" t="s">
        <v>162</v>
      </c>
      <c r="K27" s="1">
        <v>56.5</v>
      </c>
    </row>
    <row r="28" ht="15" customHeight="1" spans="1:11">
      <c r="A28" s="4">
        <v>23</v>
      </c>
      <c r="B28" s="1" t="s">
        <v>203</v>
      </c>
      <c r="C28" s="1">
        <v>57</v>
      </c>
      <c r="D28" s="1" t="s">
        <v>159</v>
      </c>
      <c r="E28" s="1">
        <v>56</v>
      </c>
      <c r="F28" s="1" t="s">
        <v>200</v>
      </c>
      <c r="G28" s="1">
        <v>59</v>
      </c>
      <c r="H28" s="1" t="s">
        <v>246</v>
      </c>
      <c r="I28" s="1">
        <v>57.5</v>
      </c>
      <c r="J28" s="1" t="s">
        <v>217</v>
      </c>
      <c r="K28" s="1">
        <v>56</v>
      </c>
    </row>
    <row r="29" ht="15" customHeight="1" spans="1:11">
      <c r="A29" s="4">
        <v>24</v>
      </c>
      <c r="B29" s="1" t="s">
        <v>108</v>
      </c>
      <c r="C29" s="1">
        <v>56.5</v>
      </c>
      <c r="D29" s="1" t="s">
        <v>174</v>
      </c>
      <c r="E29" s="1">
        <v>56</v>
      </c>
      <c r="F29" s="1" t="s">
        <v>160</v>
      </c>
      <c r="G29" s="1">
        <v>58.5</v>
      </c>
      <c r="H29" s="1" t="s">
        <v>151</v>
      </c>
      <c r="I29" s="1">
        <v>57</v>
      </c>
      <c r="J29" s="1" t="s">
        <v>132</v>
      </c>
      <c r="K29" s="1">
        <v>55.5</v>
      </c>
    </row>
    <row r="30" ht="15" customHeight="1" spans="1:11">
      <c r="A30" s="4">
        <v>25</v>
      </c>
      <c r="B30" s="1" t="s">
        <v>218</v>
      </c>
      <c r="C30" s="1">
        <v>56</v>
      </c>
      <c r="D30" s="1" t="s">
        <v>189</v>
      </c>
      <c r="E30" s="1">
        <v>55.5</v>
      </c>
      <c r="F30" s="1" t="s">
        <v>230</v>
      </c>
      <c r="G30" s="1">
        <v>58.5</v>
      </c>
      <c r="H30" s="1" t="s">
        <v>171</v>
      </c>
      <c r="I30" s="1">
        <v>57</v>
      </c>
      <c r="J30" s="1" t="s">
        <v>192</v>
      </c>
      <c r="K30" s="1">
        <v>55</v>
      </c>
    </row>
    <row r="31" ht="15" customHeight="1" spans="1:11">
      <c r="A31" s="5" t="s">
        <v>82</v>
      </c>
      <c r="B31" s="6">
        <v>61.68</v>
      </c>
      <c r="C31" s="1"/>
      <c r="D31" s="6">
        <v>60.32</v>
      </c>
      <c r="E31" s="1"/>
      <c r="F31" s="7">
        <v>62.02</v>
      </c>
      <c r="G31" s="1"/>
      <c r="H31" s="6">
        <v>61.78</v>
      </c>
      <c r="I31" s="1"/>
      <c r="J31" s="8">
        <v>59.68</v>
      </c>
      <c r="K31" s="1"/>
    </row>
    <row r="32" ht="15" customHeight="1" spans="1:11">
      <c r="A32" s="4">
        <v>26</v>
      </c>
      <c r="B32" s="1" t="s">
        <v>133</v>
      </c>
      <c r="C32" s="1">
        <v>54.5</v>
      </c>
      <c r="D32" s="1" t="s">
        <v>249</v>
      </c>
      <c r="E32" s="1">
        <v>55</v>
      </c>
      <c r="F32" s="1" t="s">
        <v>90</v>
      </c>
      <c r="G32" s="1">
        <v>58</v>
      </c>
      <c r="H32" s="1" t="s">
        <v>166</v>
      </c>
      <c r="I32" s="1">
        <v>56.5</v>
      </c>
      <c r="J32" s="1" t="s">
        <v>167</v>
      </c>
      <c r="K32" s="1">
        <v>54.5</v>
      </c>
    </row>
    <row r="33" ht="15" customHeight="1" spans="1:11">
      <c r="A33" s="4">
        <v>27</v>
      </c>
      <c r="B33" s="1" t="s">
        <v>163</v>
      </c>
      <c r="C33" s="1">
        <v>54.5</v>
      </c>
      <c r="D33" s="1" t="s">
        <v>149</v>
      </c>
      <c r="E33" s="1">
        <v>54</v>
      </c>
      <c r="F33" s="1" t="s">
        <v>205</v>
      </c>
      <c r="G33" s="1">
        <v>58</v>
      </c>
      <c r="H33" s="1" t="s">
        <v>196</v>
      </c>
      <c r="I33" s="1">
        <v>56</v>
      </c>
      <c r="J33" s="1" t="s">
        <v>207</v>
      </c>
      <c r="K33" s="1">
        <v>54</v>
      </c>
    </row>
    <row r="34" ht="15" customHeight="1" spans="1:11">
      <c r="A34" s="4">
        <v>28</v>
      </c>
      <c r="B34" s="1" t="s">
        <v>153</v>
      </c>
      <c r="C34" s="1">
        <v>54</v>
      </c>
      <c r="D34" s="1" t="s">
        <v>224</v>
      </c>
      <c r="E34" s="1">
        <v>54</v>
      </c>
      <c r="F34" s="1" t="s">
        <v>175</v>
      </c>
      <c r="G34" s="1">
        <v>57.5</v>
      </c>
      <c r="H34" s="1" t="s">
        <v>266</v>
      </c>
      <c r="I34" s="1">
        <v>56</v>
      </c>
      <c r="J34" s="1" t="s">
        <v>227</v>
      </c>
      <c r="K34" s="1">
        <v>54</v>
      </c>
    </row>
    <row r="35" ht="15" customHeight="1" spans="1:11">
      <c r="A35" s="4">
        <v>29</v>
      </c>
      <c r="B35" s="1" t="s">
        <v>183</v>
      </c>
      <c r="C35" s="1">
        <v>52</v>
      </c>
      <c r="D35" s="1" t="s">
        <v>164</v>
      </c>
      <c r="E35" s="1">
        <v>53</v>
      </c>
      <c r="F35" s="1" t="s">
        <v>210</v>
      </c>
      <c r="G35" s="1">
        <v>57.5</v>
      </c>
      <c r="H35" s="1" t="s">
        <v>241</v>
      </c>
      <c r="I35" s="1">
        <v>55.5</v>
      </c>
      <c r="J35" s="1" t="s">
        <v>197</v>
      </c>
      <c r="K35" s="1">
        <v>53</v>
      </c>
    </row>
    <row r="36" ht="15" customHeight="1" spans="1:11">
      <c r="A36" s="4">
        <v>30</v>
      </c>
      <c r="B36" s="1" t="s">
        <v>173</v>
      </c>
      <c r="C36" s="1">
        <v>51.5</v>
      </c>
      <c r="D36" s="1" t="s">
        <v>114</v>
      </c>
      <c r="E36" s="1">
        <v>51.5</v>
      </c>
      <c r="F36" s="1" t="s">
        <v>170</v>
      </c>
      <c r="G36" s="1">
        <v>57</v>
      </c>
      <c r="H36" s="1" t="s">
        <v>261</v>
      </c>
      <c r="I36" s="1">
        <v>55.5</v>
      </c>
      <c r="J36" s="1" t="s">
        <v>262</v>
      </c>
      <c r="K36" s="1">
        <v>53</v>
      </c>
    </row>
    <row r="37" ht="15" customHeight="1" spans="1:11">
      <c r="A37" s="5" t="s">
        <v>82</v>
      </c>
      <c r="B37" s="6">
        <v>60.2833333333333</v>
      </c>
      <c r="C37" s="1"/>
      <c r="D37" s="6">
        <v>59.1833333333333</v>
      </c>
      <c r="E37" s="1"/>
      <c r="F37" s="7">
        <v>61.2833333333333</v>
      </c>
      <c r="G37" s="1"/>
      <c r="H37" s="6">
        <v>60.8</v>
      </c>
      <c r="I37" s="1"/>
      <c r="J37" s="8">
        <v>58.6833333333333</v>
      </c>
      <c r="K37" s="1"/>
    </row>
    <row r="38" ht="15" customHeight="1" spans="1:11">
      <c r="A38" s="4">
        <v>31</v>
      </c>
      <c r="B38" s="1" t="s">
        <v>238</v>
      </c>
      <c r="C38" s="1">
        <v>51.5</v>
      </c>
      <c r="D38" s="1" t="s">
        <v>194</v>
      </c>
      <c r="E38" s="1">
        <v>51</v>
      </c>
      <c r="F38" s="1" t="s">
        <v>105</v>
      </c>
      <c r="G38" s="1">
        <v>56</v>
      </c>
      <c r="H38" s="1" t="s">
        <v>251</v>
      </c>
      <c r="I38" s="1">
        <v>54.5</v>
      </c>
      <c r="J38" s="1" t="s">
        <v>87</v>
      </c>
      <c r="K38" s="1">
        <v>52.5</v>
      </c>
    </row>
    <row r="39" ht="15" customHeight="1" spans="1:11">
      <c r="A39" s="4">
        <v>32</v>
      </c>
      <c r="B39" s="1" t="s">
        <v>248</v>
      </c>
      <c r="C39" s="1">
        <v>51.5</v>
      </c>
      <c r="D39" s="1" t="s">
        <v>214</v>
      </c>
      <c r="E39" s="1">
        <v>51</v>
      </c>
      <c r="F39" s="1" t="s">
        <v>245</v>
      </c>
      <c r="G39" s="1">
        <v>54</v>
      </c>
      <c r="H39" s="1" t="s">
        <v>146</v>
      </c>
      <c r="I39" s="1">
        <v>54</v>
      </c>
      <c r="J39" s="1" t="s">
        <v>252</v>
      </c>
      <c r="K39" s="1">
        <v>52.5</v>
      </c>
    </row>
    <row r="40" ht="15" customHeight="1" spans="1:11">
      <c r="A40" s="4">
        <v>33</v>
      </c>
      <c r="B40" s="1" t="s">
        <v>178</v>
      </c>
      <c r="C40" s="1">
        <v>51</v>
      </c>
      <c r="D40" s="1" t="s">
        <v>234</v>
      </c>
      <c r="E40" s="1">
        <v>51</v>
      </c>
      <c r="F40" s="1" t="s">
        <v>220</v>
      </c>
      <c r="G40" s="1">
        <v>52.5</v>
      </c>
      <c r="H40" s="1" t="s">
        <v>161</v>
      </c>
      <c r="I40" s="1">
        <v>54</v>
      </c>
      <c r="J40" s="1" t="s">
        <v>237</v>
      </c>
      <c r="K40" s="1">
        <v>51.5</v>
      </c>
    </row>
    <row r="41" ht="15" customHeight="1" spans="1:11">
      <c r="A41" s="4">
        <v>34</v>
      </c>
      <c r="B41" s="1" t="s">
        <v>208</v>
      </c>
      <c r="C41" s="1">
        <v>50.5</v>
      </c>
      <c r="D41" s="1" t="s">
        <v>204</v>
      </c>
      <c r="E41" s="1">
        <v>49.5</v>
      </c>
      <c r="F41" s="1" t="s">
        <v>270</v>
      </c>
      <c r="G41" s="1">
        <v>51.5</v>
      </c>
      <c r="H41" s="1" t="s">
        <v>191</v>
      </c>
      <c r="I41" s="1">
        <v>53</v>
      </c>
      <c r="J41" s="1" t="s">
        <v>272</v>
      </c>
      <c r="K41" s="1">
        <v>50.5</v>
      </c>
    </row>
    <row r="42" ht="15" customHeight="1" spans="1:11">
      <c r="A42" s="4">
        <v>35</v>
      </c>
      <c r="B42" s="1" t="s">
        <v>258</v>
      </c>
      <c r="C42" s="1">
        <v>50.5</v>
      </c>
      <c r="D42" s="1" t="s">
        <v>239</v>
      </c>
      <c r="E42" s="1">
        <v>48.5</v>
      </c>
      <c r="F42" s="1" t="s">
        <v>250</v>
      </c>
      <c r="G42" s="1">
        <v>50</v>
      </c>
      <c r="H42" s="1" t="s">
        <v>231</v>
      </c>
      <c r="I42" s="1">
        <v>53</v>
      </c>
      <c r="J42" s="1" t="s">
        <v>202</v>
      </c>
      <c r="K42" s="1">
        <v>50</v>
      </c>
    </row>
    <row r="43" ht="15" customHeight="1" spans="1:11">
      <c r="A43" s="5" t="s">
        <v>82</v>
      </c>
      <c r="B43" s="6">
        <v>58.9571428571429</v>
      </c>
      <c r="C43" s="1"/>
      <c r="D43" s="6">
        <v>57.9</v>
      </c>
      <c r="E43" s="1"/>
      <c r="F43" s="7">
        <v>60.0714285714286</v>
      </c>
      <c r="G43" s="1"/>
      <c r="H43" s="6">
        <v>59.7857142857143</v>
      </c>
      <c r="I43" s="1"/>
      <c r="J43" s="8">
        <v>57.6428571428572</v>
      </c>
      <c r="K43" s="1"/>
    </row>
    <row r="44" ht="15" customHeight="1" spans="1:11">
      <c r="A44" s="4">
        <v>36</v>
      </c>
      <c r="B44" s="1" t="s">
        <v>128</v>
      </c>
      <c r="C44" s="1">
        <v>50</v>
      </c>
      <c r="D44" s="1" t="s">
        <v>209</v>
      </c>
      <c r="E44" s="1">
        <v>48</v>
      </c>
      <c r="F44" s="1" t="s">
        <v>185</v>
      </c>
      <c r="G44" s="1">
        <v>48.5</v>
      </c>
      <c r="H44" s="1" t="s">
        <v>256</v>
      </c>
      <c r="I44" s="1">
        <v>51.5</v>
      </c>
      <c r="J44" s="1" t="s">
        <v>212</v>
      </c>
      <c r="K44" s="1">
        <v>50</v>
      </c>
    </row>
    <row r="45" ht="15" customHeight="1" spans="1:11">
      <c r="A45" s="4">
        <v>37</v>
      </c>
      <c r="B45" s="1" t="s">
        <v>213</v>
      </c>
      <c r="C45" s="1">
        <v>47.5</v>
      </c>
      <c r="D45" s="1" t="s">
        <v>229</v>
      </c>
      <c r="E45" s="1">
        <v>48</v>
      </c>
      <c r="F45" s="1" t="s">
        <v>260</v>
      </c>
      <c r="G45" s="1">
        <v>48.5</v>
      </c>
      <c r="H45" s="1" t="s">
        <v>271</v>
      </c>
      <c r="I45" s="1">
        <v>51.5</v>
      </c>
      <c r="J45" s="1" t="s">
        <v>102</v>
      </c>
      <c r="K45" s="1">
        <v>49</v>
      </c>
    </row>
    <row r="46" ht="15" customHeight="1" spans="1:11">
      <c r="A46" s="4">
        <v>38</v>
      </c>
      <c r="B46" s="1" t="s">
        <v>243</v>
      </c>
      <c r="C46" s="1">
        <v>47</v>
      </c>
      <c r="D46" s="1" t="s">
        <v>254</v>
      </c>
      <c r="E46" s="1">
        <v>46.5</v>
      </c>
      <c r="F46" s="1" t="s">
        <v>215</v>
      </c>
      <c r="G46" s="1">
        <v>46.5</v>
      </c>
      <c r="H46" s="1" t="s">
        <v>276</v>
      </c>
      <c r="I46" s="1">
        <v>51.5</v>
      </c>
      <c r="J46" s="1" t="s">
        <v>247</v>
      </c>
      <c r="K46" s="1">
        <v>49</v>
      </c>
    </row>
    <row r="47" ht="15" customHeight="1" spans="1:11">
      <c r="A47" s="4">
        <v>39</v>
      </c>
      <c r="B47" s="1" t="s">
        <v>253</v>
      </c>
      <c r="C47" s="1">
        <v>46.5</v>
      </c>
      <c r="D47" s="1" t="s">
        <v>244</v>
      </c>
      <c r="E47" s="1">
        <v>46</v>
      </c>
      <c r="F47" s="1" t="s">
        <v>265</v>
      </c>
      <c r="G47" s="1">
        <v>45</v>
      </c>
      <c r="H47" s="1" t="s">
        <v>206</v>
      </c>
      <c r="I47" s="1">
        <v>51</v>
      </c>
      <c r="J47" s="1" t="s">
        <v>222</v>
      </c>
      <c r="K47" s="1">
        <v>47.5</v>
      </c>
    </row>
    <row r="48" ht="15" customHeight="1" spans="1:11">
      <c r="A48" s="4">
        <v>40</v>
      </c>
      <c r="B48" s="1" t="s">
        <v>223</v>
      </c>
      <c r="C48" s="1">
        <v>46</v>
      </c>
      <c r="D48" s="1" t="s">
        <v>219</v>
      </c>
      <c r="E48" s="1">
        <v>45</v>
      </c>
      <c r="F48" s="1" t="s">
        <v>240</v>
      </c>
      <c r="G48" s="1">
        <v>44.5</v>
      </c>
      <c r="H48" s="1" t="s">
        <v>201</v>
      </c>
      <c r="I48" s="1">
        <v>49.5</v>
      </c>
      <c r="J48" s="1" t="s">
        <v>242</v>
      </c>
      <c r="K48" s="1">
        <v>46</v>
      </c>
    </row>
    <row r="49" ht="15" customHeight="1" spans="1:11">
      <c r="A49" s="5" t="s">
        <v>82</v>
      </c>
      <c r="B49" s="6">
        <v>57.5125</v>
      </c>
      <c r="C49" s="1"/>
      <c r="D49" s="6">
        <v>56.5</v>
      </c>
      <c r="E49" s="1"/>
      <c r="F49" s="6">
        <v>58.3875</v>
      </c>
      <c r="G49" s="1"/>
      <c r="H49" s="7">
        <v>58.6875</v>
      </c>
      <c r="I49" s="1"/>
      <c r="J49" s="8">
        <v>56.475</v>
      </c>
      <c r="K49" s="1"/>
    </row>
    <row r="50" ht="15" customHeight="1" spans="1:11">
      <c r="A50" s="4">
        <v>41</v>
      </c>
      <c r="B50" s="1" t="s">
        <v>233</v>
      </c>
      <c r="C50" s="1">
        <v>46</v>
      </c>
      <c r="D50" s="1" t="s">
        <v>264</v>
      </c>
      <c r="E50" s="1">
        <v>34.5</v>
      </c>
      <c r="F50" s="1" t="s">
        <v>255</v>
      </c>
      <c r="G50" s="1">
        <v>44</v>
      </c>
      <c r="H50" s="1" t="s">
        <v>216</v>
      </c>
      <c r="I50" s="1">
        <v>47.5</v>
      </c>
      <c r="J50" s="1" t="s">
        <v>232</v>
      </c>
      <c r="K50" s="1">
        <v>44</v>
      </c>
    </row>
    <row r="51" ht="15" customHeight="1" spans="1:11">
      <c r="A51" s="4">
        <v>42</v>
      </c>
      <c r="B51" s="1" t="s">
        <v>228</v>
      </c>
      <c r="C51" s="1">
        <v>41.5</v>
      </c>
      <c r="D51" s="1" t="s">
        <v>279</v>
      </c>
      <c r="E51" s="1">
        <v>33</v>
      </c>
      <c r="F51" s="1" t="s">
        <v>282</v>
      </c>
      <c r="G51" s="1">
        <v>44</v>
      </c>
      <c r="H51" s="1" t="s">
        <v>221</v>
      </c>
      <c r="I51" s="1">
        <v>47.5</v>
      </c>
      <c r="J51" s="1" t="s">
        <v>257</v>
      </c>
      <c r="K51" s="1">
        <v>40.5</v>
      </c>
    </row>
    <row r="52" ht="15" customHeight="1" spans="1:11">
      <c r="A52" s="4">
        <v>43</v>
      </c>
      <c r="B52" s="1" t="s">
        <v>273</v>
      </c>
      <c r="C52" s="1">
        <v>38.5</v>
      </c>
      <c r="D52" s="1" t="s">
        <v>259</v>
      </c>
      <c r="E52" s="1">
        <v>32.5</v>
      </c>
      <c r="F52" s="1" t="s">
        <v>225</v>
      </c>
      <c r="G52" s="1">
        <v>43.5</v>
      </c>
      <c r="H52" s="1" t="s">
        <v>226</v>
      </c>
      <c r="I52" s="1">
        <v>45</v>
      </c>
      <c r="J52" s="1" t="s">
        <v>267</v>
      </c>
      <c r="K52" s="1">
        <v>37.5</v>
      </c>
    </row>
    <row r="53" ht="15" customHeight="1" spans="1:11">
      <c r="A53" s="4">
        <v>44</v>
      </c>
      <c r="B53" s="1" t="s">
        <v>268</v>
      </c>
      <c r="C53" s="1">
        <v>38</v>
      </c>
      <c r="D53" s="1" t="s">
        <v>269</v>
      </c>
      <c r="E53" s="1">
        <v>32.5</v>
      </c>
      <c r="F53" s="1" t="s">
        <v>235</v>
      </c>
      <c r="G53" s="1">
        <v>39</v>
      </c>
      <c r="H53" s="1" t="s">
        <v>236</v>
      </c>
      <c r="I53" s="1">
        <v>43</v>
      </c>
      <c r="J53" s="1" t="s">
        <v>277</v>
      </c>
      <c r="K53" s="1">
        <v>24</v>
      </c>
    </row>
    <row r="54" ht="15" customHeight="1" spans="1:11">
      <c r="A54" s="4">
        <v>45</v>
      </c>
      <c r="B54" s="1" t="s">
        <v>278</v>
      </c>
      <c r="C54" s="1">
        <v>12</v>
      </c>
      <c r="D54" s="1" t="s">
        <v>274</v>
      </c>
      <c r="E54" s="1">
        <v>25.5</v>
      </c>
      <c r="F54" s="1" t="s">
        <v>275</v>
      </c>
      <c r="G54" s="1">
        <v>39</v>
      </c>
      <c r="H54" s="1" t="s">
        <v>281</v>
      </c>
      <c r="I54" s="1">
        <v>32</v>
      </c>
      <c r="J54" s="1"/>
      <c r="K54" s="1"/>
    </row>
    <row r="55" ht="15" customHeight="1" spans="1:11">
      <c r="A55" s="5" t="s">
        <v>82</v>
      </c>
      <c r="B55" s="6">
        <v>55.0333333333333</v>
      </c>
      <c r="C55" s="1"/>
      <c r="D55" s="8">
        <v>53.7333333333333</v>
      </c>
      <c r="E55" s="1"/>
      <c r="F55" s="6">
        <v>56.5555555555556</v>
      </c>
      <c r="G55" s="1"/>
      <c r="H55" s="7">
        <v>56.9444444444444</v>
      </c>
      <c r="I55" s="1"/>
      <c r="J55" s="6">
        <v>54.6590909090909</v>
      </c>
      <c r="K55" s="1"/>
    </row>
    <row r="56" ht="15" customHeight="1" spans="1:11">
      <c r="A56" s="4">
        <v>46</v>
      </c>
      <c r="B56" s="1"/>
      <c r="C56" s="1"/>
      <c r="D56" s="1"/>
      <c r="E56" s="1"/>
      <c r="F56" s="1" t="s">
        <v>280</v>
      </c>
      <c r="G56" s="1">
        <v>38</v>
      </c>
      <c r="H56" s="1" t="s">
        <v>283</v>
      </c>
      <c r="I56" s="1">
        <v>29.5</v>
      </c>
      <c r="J56" s="1"/>
      <c r="K56" s="1"/>
    </row>
    <row r="57" ht="15" customHeight="1" spans="1:11">
      <c r="A57" s="4">
        <v>47</v>
      </c>
      <c r="B57" s="1"/>
      <c r="C57" s="1"/>
      <c r="D57" s="1"/>
      <c r="E57" s="1"/>
      <c r="F57" s="1" t="s">
        <v>284</v>
      </c>
      <c r="G57" s="1">
        <v>33</v>
      </c>
      <c r="H57" s="1"/>
      <c r="I57" s="1"/>
      <c r="J57" s="1"/>
      <c r="K57" s="1"/>
    </row>
    <row r="58" ht="15" customHeight="1" spans="1:11">
      <c r="A58" s="4">
        <v>48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" customHeight="1" spans="1:11">
      <c r="A59" s="4">
        <v>49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" customHeight="1" spans="1:11">
      <c r="A60" s="4">
        <v>50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" customHeight="1" spans="1:11">
      <c r="A61" s="5" t="s">
        <v>82</v>
      </c>
      <c r="B61" s="6">
        <v>55.0333333333333</v>
      </c>
      <c r="C61" s="1"/>
      <c r="D61" s="8">
        <v>53.7333333333333</v>
      </c>
      <c r="E61" s="1"/>
      <c r="F61" s="6">
        <v>55.6595744680851</v>
      </c>
      <c r="G61" s="1"/>
      <c r="H61" s="7">
        <v>56.3478260869565</v>
      </c>
      <c r="I61" s="1"/>
      <c r="J61" s="6">
        <v>54.6590909090909</v>
      </c>
      <c r="K61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showGridLines="0" workbookViewId="0">
      <selection activeCell="A1" sqref="A1"/>
    </sheetView>
  </sheetViews>
  <sheetFormatPr defaultColWidth="9" defaultRowHeight="13.5"/>
  <sheetData>
    <row r="1" ht="15" customHeight="1" spans="1:11">
      <c r="A1" s="4" t="s">
        <v>50</v>
      </c>
      <c r="B1" s="4" t="s">
        <v>51</v>
      </c>
      <c r="C1" s="4" t="s">
        <v>285</v>
      </c>
      <c r="D1" s="4" t="s">
        <v>53</v>
      </c>
      <c r="E1" s="4" t="s">
        <v>285</v>
      </c>
      <c r="F1" s="4" t="s">
        <v>54</v>
      </c>
      <c r="G1" s="4" t="s">
        <v>285</v>
      </c>
      <c r="H1" s="4" t="s">
        <v>55</v>
      </c>
      <c r="I1" s="4" t="s">
        <v>285</v>
      </c>
      <c r="J1" s="4" t="s">
        <v>56</v>
      </c>
      <c r="K1" s="4" t="s">
        <v>285</v>
      </c>
    </row>
    <row r="2" ht="15" customHeight="1" spans="1:11">
      <c r="A2" s="4">
        <v>1</v>
      </c>
      <c r="B2" s="1" t="s">
        <v>72</v>
      </c>
      <c r="C2" s="1">
        <v>48</v>
      </c>
      <c r="D2" s="1" t="s">
        <v>63</v>
      </c>
      <c r="E2" s="1">
        <v>47.5</v>
      </c>
      <c r="F2" s="1" t="s">
        <v>64</v>
      </c>
      <c r="G2" s="1">
        <v>48</v>
      </c>
      <c r="H2" s="1" t="s">
        <v>65</v>
      </c>
      <c r="I2" s="1">
        <v>48.5</v>
      </c>
      <c r="J2" s="1" t="s">
        <v>81</v>
      </c>
      <c r="K2" s="1">
        <v>46.5</v>
      </c>
    </row>
    <row r="3" ht="15" customHeight="1" spans="1:11">
      <c r="A3" s="4">
        <v>2</v>
      </c>
      <c r="B3" s="1" t="s">
        <v>178</v>
      </c>
      <c r="C3" s="1">
        <v>48</v>
      </c>
      <c r="D3" s="1" t="s">
        <v>68</v>
      </c>
      <c r="E3" s="1">
        <v>47.5</v>
      </c>
      <c r="F3" s="1" t="s">
        <v>135</v>
      </c>
      <c r="G3" s="1">
        <v>47</v>
      </c>
      <c r="H3" s="1" t="s">
        <v>70</v>
      </c>
      <c r="I3" s="1">
        <v>46</v>
      </c>
      <c r="J3" s="1" t="s">
        <v>61</v>
      </c>
      <c r="K3" s="1">
        <v>46</v>
      </c>
    </row>
    <row r="4" ht="15" customHeight="1" spans="1:11">
      <c r="A4" s="4">
        <v>3</v>
      </c>
      <c r="B4" s="1" t="s">
        <v>143</v>
      </c>
      <c r="C4" s="1">
        <v>47.5</v>
      </c>
      <c r="D4" s="1" t="s">
        <v>58</v>
      </c>
      <c r="E4" s="1">
        <v>47</v>
      </c>
      <c r="F4" s="1" t="s">
        <v>180</v>
      </c>
      <c r="G4" s="1">
        <v>47</v>
      </c>
      <c r="H4" s="1" t="s">
        <v>166</v>
      </c>
      <c r="I4" s="1">
        <v>46</v>
      </c>
      <c r="J4" s="1" t="s">
        <v>66</v>
      </c>
      <c r="K4" s="1">
        <v>46</v>
      </c>
    </row>
    <row r="5" ht="15" customHeight="1" spans="1:11">
      <c r="A5" s="4">
        <v>4</v>
      </c>
      <c r="B5" s="1" t="s">
        <v>88</v>
      </c>
      <c r="C5" s="1">
        <v>46.5</v>
      </c>
      <c r="D5" s="1" t="s">
        <v>159</v>
      </c>
      <c r="E5" s="1">
        <v>47</v>
      </c>
      <c r="F5" s="1" t="s">
        <v>59</v>
      </c>
      <c r="G5" s="1">
        <v>46.5</v>
      </c>
      <c r="H5" s="1" t="s">
        <v>75</v>
      </c>
      <c r="I5" s="1">
        <v>45.5</v>
      </c>
      <c r="J5" s="1" t="s">
        <v>152</v>
      </c>
      <c r="K5" s="1">
        <v>45.5</v>
      </c>
    </row>
    <row r="6" ht="15" customHeight="1" spans="1:11">
      <c r="A6" s="4">
        <v>5</v>
      </c>
      <c r="B6" s="1" t="s">
        <v>62</v>
      </c>
      <c r="C6" s="1">
        <v>44.5</v>
      </c>
      <c r="D6" s="1" t="s">
        <v>99</v>
      </c>
      <c r="E6" s="1">
        <v>46</v>
      </c>
      <c r="F6" s="1" t="s">
        <v>110</v>
      </c>
      <c r="G6" s="1">
        <v>46.5</v>
      </c>
      <c r="H6" s="1" t="s">
        <v>131</v>
      </c>
      <c r="I6" s="1">
        <v>45.5</v>
      </c>
      <c r="J6" s="1" t="s">
        <v>172</v>
      </c>
      <c r="K6" s="1">
        <v>44.5</v>
      </c>
    </row>
    <row r="7" ht="15" customHeight="1" spans="1:11">
      <c r="A7" s="5" t="s">
        <v>82</v>
      </c>
      <c r="B7" s="6">
        <v>46.9</v>
      </c>
      <c r="C7" s="1"/>
      <c r="D7" s="7">
        <v>47</v>
      </c>
      <c r="E7" s="1"/>
      <c r="F7" s="6">
        <v>47</v>
      </c>
      <c r="G7" s="1"/>
      <c r="H7" s="6">
        <v>46.3</v>
      </c>
      <c r="I7" s="1"/>
      <c r="J7" s="8">
        <v>45.7</v>
      </c>
      <c r="K7" s="1"/>
    </row>
    <row r="8" ht="15" customHeight="1" spans="1:11">
      <c r="A8" s="4">
        <v>6</v>
      </c>
      <c r="B8" s="1" t="s">
        <v>108</v>
      </c>
      <c r="C8" s="1">
        <v>44.5</v>
      </c>
      <c r="D8" s="1" t="s">
        <v>109</v>
      </c>
      <c r="E8" s="1">
        <v>44.5</v>
      </c>
      <c r="F8" s="1" t="s">
        <v>79</v>
      </c>
      <c r="G8" s="1">
        <v>46</v>
      </c>
      <c r="H8" s="1" t="s">
        <v>111</v>
      </c>
      <c r="I8" s="1">
        <v>44.5</v>
      </c>
      <c r="J8" s="1" t="s">
        <v>76</v>
      </c>
      <c r="K8" s="1">
        <v>44</v>
      </c>
    </row>
    <row r="9" ht="15" customHeight="1" spans="1:11">
      <c r="A9" s="4">
        <v>7</v>
      </c>
      <c r="B9" s="1" t="s">
        <v>57</v>
      </c>
      <c r="C9" s="1">
        <v>44</v>
      </c>
      <c r="D9" s="1" t="s">
        <v>89</v>
      </c>
      <c r="E9" s="1">
        <v>43.5</v>
      </c>
      <c r="F9" s="1" t="s">
        <v>90</v>
      </c>
      <c r="G9" s="1">
        <v>46</v>
      </c>
      <c r="H9" s="1" t="s">
        <v>186</v>
      </c>
      <c r="I9" s="1">
        <v>44.5</v>
      </c>
      <c r="J9" s="1" t="s">
        <v>132</v>
      </c>
      <c r="K9" s="1">
        <v>43</v>
      </c>
    </row>
    <row r="10" ht="15" customHeight="1" spans="1:11">
      <c r="A10" s="4">
        <v>8</v>
      </c>
      <c r="B10" s="1" t="s">
        <v>67</v>
      </c>
      <c r="C10" s="1">
        <v>43.5</v>
      </c>
      <c r="D10" s="1" t="s">
        <v>84</v>
      </c>
      <c r="E10" s="1">
        <v>43</v>
      </c>
      <c r="F10" s="1" t="s">
        <v>120</v>
      </c>
      <c r="G10" s="1">
        <v>46</v>
      </c>
      <c r="H10" s="1" t="s">
        <v>161</v>
      </c>
      <c r="I10" s="1">
        <v>43.5</v>
      </c>
      <c r="J10" s="1" t="s">
        <v>71</v>
      </c>
      <c r="K10" s="1">
        <v>42.5</v>
      </c>
    </row>
    <row r="11" ht="15" customHeight="1" spans="1:11">
      <c r="A11" s="4">
        <v>9</v>
      </c>
      <c r="B11" s="1" t="s">
        <v>98</v>
      </c>
      <c r="C11" s="1">
        <v>43</v>
      </c>
      <c r="D11" s="1" t="s">
        <v>134</v>
      </c>
      <c r="E11" s="1">
        <v>43</v>
      </c>
      <c r="F11" s="1" t="s">
        <v>130</v>
      </c>
      <c r="G11" s="1">
        <v>45.5</v>
      </c>
      <c r="H11" s="1" t="s">
        <v>91</v>
      </c>
      <c r="I11" s="1">
        <v>43</v>
      </c>
      <c r="J11" s="1" t="s">
        <v>147</v>
      </c>
      <c r="K11" s="1">
        <v>42.5</v>
      </c>
    </row>
    <row r="12" ht="15" customHeight="1" spans="1:11">
      <c r="A12" s="4">
        <v>10</v>
      </c>
      <c r="B12" s="1" t="s">
        <v>153</v>
      </c>
      <c r="C12" s="1">
        <v>42.5</v>
      </c>
      <c r="D12" s="1" t="s">
        <v>124</v>
      </c>
      <c r="E12" s="1">
        <v>42</v>
      </c>
      <c r="F12" s="1" t="s">
        <v>95</v>
      </c>
      <c r="G12" s="1">
        <v>45</v>
      </c>
      <c r="H12" s="1" t="s">
        <v>86</v>
      </c>
      <c r="I12" s="1">
        <v>42.5</v>
      </c>
      <c r="J12" s="1" t="s">
        <v>107</v>
      </c>
      <c r="K12" s="1">
        <v>42</v>
      </c>
    </row>
    <row r="13" ht="15" customHeight="1" spans="1:11">
      <c r="A13" s="5" t="s">
        <v>82</v>
      </c>
      <c r="B13" s="6">
        <v>45.2</v>
      </c>
      <c r="C13" s="1"/>
      <c r="D13" s="6">
        <v>45.1</v>
      </c>
      <c r="E13" s="1"/>
      <c r="F13" s="7">
        <v>46.35</v>
      </c>
      <c r="G13" s="1"/>
      <c r="H13" s="6">
        <v>44.95</v>
      </c>
      <c r="I13" s="1"/>
      <c r="J13" s="8">
        <v>44.25</v>
      </c>
      <c r="K13" s="1"/>
    </row>
    <row r="14" ht="15" customHeight="1" spans="1:11">
      <c r="A14" s="4">
        <v>11</v>
      </c>
      <c r="B14" s="1" t="s">
        <v>118</v>
      </c>
      <c r="C14" s="1">
        <v>42</v>
      </c>
      <c r="D14" s="1" t="s">
        <v>129</v>
      </c>
      <c r="E14" s="1">
        <v>42</v>
      </c>
      <c r="F14" s="1" t="s">
        <v>170</v>
      </c>
      <c r="G14" s="1">
        <v>45</v>
      </c>
      <c r="H14" s="1" t="s">
        <v>96</v>
      </c>
      <c r="I14" s="1">
        <v>42</v>
      </c>
      <c r="J14" s="1" t="s">
        <v>127</v>
      </c>
      <c r="K14" s="1">
        <v>42</v>
      </c>
    </row>
    <row r="15" ht="15" customHeight="1" spans="1:11">
      <c r="A15" s="4">
        <v>12</v>
      </c>
      <c r="B15" s="1" t="s">
        <v>188</v>
      </c>
      <c r="C15" s="1">
        <v>42</v>
      </c>
      <c r="D15" s="1" t="s">
        <v>73</v>
      </c>
      <c r="E15" s="1">
        <v>41.5</v>
      </c>
      <c r="F15" s="1" t="s">
        <v>190</v>
      </c>
      <c r="G15" s="1">
        <v>45</v>
      </c>
      <c r="H15" s="1" t="s">
        <v>136</v>
      </c>
      <c r="I15" s="1">
        <v>42</v>
      </c>
      <c r="J15" s="1" t="s">
        <v>112</v>
      </c>
      <c r="K15" s="1">
        <v>41.5</v>
      </c>
    </row>
    <row r="16" ht="15" customHeight="1" spans="1:11">
      <c r="A16" s="4">
        <v>13</v>
      </c>
      <c r="B16" s="1" t="s">
        <v>193</v>
      </c>
      <c r="C16" s="1">
        <v>42</v>
      </c>
      <c r="D16" s="1" t="s">
        <v>144</v>
      </c>
      <c r="E16" s="1">
        <v>41.5</v>
      </c>
      <c r="F16" s="1" t="s">
        <v>175</v>
      </c>
      <c r="G16" s="1">
        <v>44.5</v>
      </c>
      <c r="H16" s="1" t="s">
        <v>176</v>
      </c>
      <c r="I16" s="1">
        <v>42</v>
      </c>
      <c r="J16" s="1" t="s">
        <v>92</v>
      </c>
      <c r="K16" s="1">
        <v>41</v>
      </c>
    </row>
    <row r="17" ht="15" customHeight="1" spans="1:11">
      <c r="A17" s="4">
        <v>14</v>
      </c>
      <c r="B17" s="1" t="s">
        <v>218</v>
      </c>
      <c r="C17" s="1">
        <v>42</v>
      </c>
      <c r="D17" s="1" t="s">
        <v>239</v>
      </c>
      <c r="E17" s="1">
        <v>41</v>
      </c>
      <c r="F17" s="1" t="s">
        <v>205</v>
      </c>
      <c r="G17" s="1">
        <v>44.5</v>
      </c>
      <c r="H17" s="1" t="s">
        <v>181</v>
      </c>
      <c r="I17" s="1">
        <v>42</v>
      </c>
      <c r="J17" s="1" t="s">
        <v>192</v>
      </c>
      <c r="K17" s="1">
        <v>40.5</v>
      </c>
    </row>
    <row r="18" ht="15" customHeight="1" spans="1:11">
      <c r="A18" s="4">
        <v>15</v>
      </c>
      <c r="B18" s="1" t="s">
        <v>77</v>
      </c>
      <c r="C18" s="1">
        <v>41.5</v>
      </c>
      <c r="D18" s="1" t="s">
        <v>139</v>
      </c>
      <c r="E18" s="1">
        <v>40.5</v>
      </c>
      <c r="F18" s="1" t="s">
        <v>74</v>
      </c>
      <c r="G18" s="1">
        <v>44</v>
      </c>
      <c r="H18" s="1" t="s">
        <v>116</v>
      </c>
      <c r="I18" s="1">
        <v>41.5</v>
      </c>
      <c r="J18" s="1" t="s">
        <v>122</v>
      </c>
      <c r="K18" s="1">
        <v>40</v>
      </c>
    </row>
    <row r="19" ht="15" customHeight="1" spans="1:11">
      <c r="A19" s="5" t="s">
        <v>82</v>
      </c>
      <c r="B19" s="6">
        <v>44.1</v>
      </c>
      <c r="C19" s="1"/>
      <c r="D19" s="6">
        <v>43.8333333333333</v>
      </c>
      <c r="E19" s="1"/>
      <c r="F19" s="7">
        <v>45.7666666666667</v>
      </c>
      <c r="G19" s="1"/>
      <c r="H19" s="6">
        <v>43.9333333333333</v>
      </c>
      <c r="I19" s="1"/>
      <c r="J19" s="8">
        <v>43.1666666666667</v>
      </c>
      <c r="K19" s="1"/>
    </row>
    <row r="20" ht="15" customHeight="1" spans="1:11">
      <c r="A20" s="4">
        <v>16</v>
      </c>
      <c r="B20" s="1" t="s">
        <v>163</v>
      </c>
      <c r="C20" s="1">
        <v>41.5</v>
      </c>
      <c r="D20" s="1" t="s">
        <v>94</v>
      </c>
      <c r="E20" s="1">
        <v>40</v>
      </c>
      <c r="F20" s="1" t="s">
        <v>155</v>
      </c>
      <c r="G20" s="1">
        <v>44</v>
      </c>
      <c r="H20" s="1" t="s">
        <v>156</v>
      </c>
      <c r="I20" s="1">
        <v>41.5</v>
      </c>
      <c r="J20" s="1" t="s">
        <v>217</v>
      </c>
      <c r="K20" s="1">
        <v>40</v>
      </c>
    </row>
    <row r="21" ht="15" customHeight="1" spans="1:11">
      <c r="A21" s="4">
        <v>17</v>
      </c>
      <c r="B21" s="1" t="s">
        <v>93</v>
      </c>
      <c r="C21" s="1">
        <v>41</v>
      </c>
      <c r="D21" s="1" t="s">
        <v>104</v>
      </c>
      <c r="E21" s="1">
        <v>39.5</v>
      </c>
      <c r="F21" s="1" t="s">
        <v>105</v>
      </c>
      <c r="G21" s="1">
        <v>43.5</v>
      </c>
      <c r="H21" s="1" t="s">
        <v>121</v>
      </c>
      <c r="I21" s="1">
        <v>41</v>
      </c>
      <c r="J21" s="1" t="s">
        <v>87</v>
      </c>
      <c r="K21" s="1">
        <v>39.5</v>
      </c>
    </row>
    <row r="22" ht="15" customHeight="1" spans="1:11">
      <c r="A22" s="4">
        <v>18</v>
      </c>
      <c r="B22" s="1" t="s">
        <v>103</v>
      </c>
      <c r="C22" s="1">
        <v>40.5</v>
      </c>
      <c r="D22" s="1" t="s">
        <v>114</v>
      </c>
      <c r="E22" s="1">
        <v>39.5</v>
      </c>
      <c r="F22" s="1" t="s">
        <v>85</v>
      </c>
      <c r="G22" s="1">
        <v>43</v>
      </c>
      <c r="H22" s="1" t="s">
        <v>80</v>
      </c>
      <c r="I22" s="1">
        <v>40.5</v>
      </c>
      <c r="J22" s="1" t="s">
        <v>97</v>
      </c>
      <c r="K22" s="1">
        <v>39.5</v>
      </c>
    </row>
    <row r="23" ht="15" customHeight="1" spans="1:11">
      <c r="A23" s="4">
        <v>19</v>
      </c>
      <c r="B23" s="1" t="s">
        <v>83</v>
      </c>
      <c r="C23" s="1">
        <v>40</v>
      </c>
      <c r="D23" s="1" t="s">
        <v>119</v>
      </c>
      <c r="E23" s="1">
        <v>39.5</v>
      </c>
      <c r="F23" s="1" t="s">
        <v>100</v>
      </c>
      <c r="G23" s="1">
        <v>43</v>
      </c>
      <c r="H23" s="1" t="s">
        <v>101</v>
      </c>
      <c r="I23" s="1">
        <v>40.5</v>
      </c>
      <c r="J23" s="1" t="s">
        <v>137</v>
      </c>
      <c r="K23" s="1">
        <v>39.5</v>
      </c>
    </row>
    <row r="24" ht="15" customHeight="1" spans="1:11">
      <c r="A24" s="4">
        <v>20</v>
      </c>
      <c r="B24" s="1" t="s">
        <v>113</v>
      </c>
      <c r="C24" s="1">
        <v>40</v>
      </c>
      <c r="D24" s="1" t="s">
        <v>154</v>
      </c>
      <c r="E24" s="1">
        <v>39.5</v>
      </c>
      <c r="F24" s="1" t="s">
        <v>145</v>
      </c>
      <c r="G24" s="1">
        <v>43</v>
      </c>
      <c r="H24" s="1" t="s">
        <v>246</v>
      </c>
      <c r="I24" s="1">
        <v>40.5</v>
      </c>
      <c r="J24" s="1" t="s">
        <v>167</v>
      </c>
      <c r="K24" s="1">
        <v>39.5</v>
      </c>
    </row>
    <row r="25" ht="15" customHeight="1" spans="1:11">
      <c r="A25" s="5" t="s">
        <v>82</v>
      </c>
      <c r="B25" s="6">
        <v>43.225</v>
      </c>
      <c r="C25" s="1"/>
      <c r="D25" s="6">
        <v>42.775</v>
      </c>
      <c r="E25" s="1"/>
      <c r="F25" s="7">
        <v>45.15</v>
      </c>
      <c r="G25" s="1"/>
      <c r="H25" s="6">
        <v>43.15</v>
      </c>
      <c r="I25" s="1"/>
      <c r="J25" s="8">
        <v>42.275</v>
      </c>
      <c r="K25" s="1"/>
    </row>
    <row r="26" ht="15" customHeight="1" spans="1:11">
      <c r="A26" s="4">
        <v>21</v>
      </c>
      <c r="B26" s="1" t="s">
        <v>123</v>
      </c>
      <c r="C26" s="1">
        <v>40</v>
      </c>
      <c r="D26" s="1" t="s">
        <v>184</v>
      </c>
      <c r="E26" s="1">
        <v>39</v>
      </c>
      <c r="F26" s="1" t="s">
        <v>69</v>
      </c>
      <c r="G26" s="1">
        <v>42.5</v>
      </c>
      <c r="H26" s="1" t="s">
        <v>60</v>
      </c>
      <c r="I26" s="1">
        <v>40</v>
      </c>
      <c r="J26" s="1" t="s">
        <v>222</v>
      </c>
      <c r="K26" s="1">
        <v>39.5</v>
      </c>
    </row>
    <row r="27" ht="15" customHeight="1" spans="1:11">
      <c r="A27" s="4">
        <v>22</v>
      </c>
      <c r="B27" s="1" t="s">
        <v>203</v>
      </c>
      <c r="C27" s="1">
        <v>40</v>
      </c>
      <c r="D27" s="1" t="s">
        <v>224</v>
      </c>
      <c r="E27" s="1">
        <v>39</v>
      </c>
      <c r="F27" s="1" t="s">
        <v>240</v>
      </c>
      <c r="G27" s="1">
        <v>42.5</v>
      </c>
      <c r="H27" s="1" t="s">
        <v>151</v>
      </c>
      <c r="I27" s="1">
        <v>40</v>
      </c>
      <c r="J27" s="1" t="s">
        <v>227</v>
      </c>
      <c r="K27" s="1">
        <v>39.5</v>
      </c>
    </row>
    <row r="28" ht="15" customHeight="1" spans="1:11">
      <c r="A28" s="4">
        <v>23</v>
      </c>
      <c r="B28" s="1" t="s">
        <v>133</v>
      </c>
      <c r="C28" s="1">
        <v>39.5</v>
      </c>
      <c r="D28" s="1" t="s">
        <v>78</v>
      </c>
      <c r="E28" s="1">
        <v>38</v>
      </c>
      <c r="F28" s="1" t="s">
        <v>150</v>
      </c>
      <c r="G28" s="1">
        <v>42</v>
      </c>
      <c r="H28" s="1" t="s">
        <v>171</v>
      </c>
      <c r="I28" s="1">
        <v>40</v>
      </c>
      <c r="J28" s="1" t="s">
        <v>262</v>
      </c>
      <c r="K28" s="1">
        <v>39.5</v>
      </c>
    </row>
    <row r="29" ht="15" customHeight="1" spans="1:11">
      <c r="A29" s="4">
        <v>24</v>
      </c>
      <c r="B29" s="1" t="s">
        <v>148</v>
      </c>
      <c r="C29" s="1">
        <v>39.5</v>
      </c>
      <c r="D29" s="1" t="s">
        <v>149</v>
      </c>
      <c r="E29" s="1">
        <v>38</v>
      </c>
      <c r="F29" s="1" t="s">
        <v>200</v>
      </c>
      <c r="G29" s="1">
        <v>42</v>
      </c>
      <c r="H29" s="1" t="s">
        <v>201</v>
      </c>
      <c r="I29" s="1">
        <v>40</v>
      </c>
      <c r="J29" s="1" t="s">
        <v>117</v>
      </c>
      <c r="K29" s="1">
        <v>39</v>
      </c>
    </row>
    <row r="30" ht="15" customHeight="1" spans="1:11">
      <c r="A30" s="4">
        <v>25</v>
      </c>
      <c r="B30" s="1" t="s">
        <v>173</v>
      </c>
      <c r="C30" s="1">
        <v>39.5</v>
      </c>
      <c r="D30" s="1" t="s">
        <v>194</v>
      </c>
      <c r="E30" s="1">
        <v>38</v>
      </c>
      <c r="F30" s="1" t="s">
        <v>165</v>
      </c>
      <c r="G30" s="1">
        <v>41.5</v>
      </c>
      <c r="H30" s="1" t="s">
        <v>206</v>
      </c>
      <c r="I30" s="1">
        <v>40</v>
      </c>
      <c r="J30" s="1" t="s">
        <v>177</v>
      </c>
      <c r="K30" s="1">
        <v>39</v>
      </c>
    </row>
    <row r="31" ht="15" customHeight="1" spans="1:11">
      <c r="A31" s="5" t="s">
        <v>82</v>
      </c>
      <c r="B31" s="6">
        <v>42.52</v>
      </c>
      <c r="C31" s="1"/>
      <c r="D31" s="6">
        <v>41.9</v>
      </c>
      <c r="E31" s="1"/>
      <c r="F31" s="7">
        <v>44.54</v>
      </c>
      <c r="G31" s="1"/>
      <c r="H31" s="6">
        <v>42.52</v>
      </c>
      <c r="I31" s="1"/>
      <c r="J31" s="8">
        <v>41.68</v>
      </c>
      <c r="K31" s="1"/>
    </row>
    <row r="32" ht="15" customHeight="1" spans="1:11">
      <c r="A32" s="4">
        <v>26</v>
      </c>
      <c r="B32" s="1" t="s">
        <v>138</v>
      </c>
      <c r="C32" s="1">
        <v>39</v>
      </c>
      <c r="D32" s="1" t="s">
        <v>209</v>
      </c>
      <c r="E32" s="1">
        <v>38</v>
      </c>
      <c r="F32" s="1" t="s">
        <v>125</v>
      </c>
      <c r="G32" s="1">
        <v>41</v>
      </c>
      <c r="H32" s="1" t="s">
        <v>231</v>
      </c>
      <c r="I32" s="1">
        <v>40</v>
      </c>
      <c r="J32" s="1" t="s">
        <v>102</v>
      </c>
      <c r="K32" s="1">
        <v>38.5</v>
      </c>
    </row>
    <row r="33" ht="15" customHeight="1" spans="1:11">
      <c r="A33" s="4">
        <v>27</v>
      </c>
      <c r="B33" s="1" t="s">
        <v>213</v>
      </c>
      <c r="C33" s="1">
        <v>39</v>
      </c>
      <c r="D33" s="1" t="s">
        <v>229</v>
      </c>
      <c r="E33" s="1">
        <v>38</v>
      </c>
      <c r="F33" s="1" t="s">
        <v>140</v>
      </c>
      <c r="G33" s="1">
        <v>41</v>
      </c>
      <c r="H33" s="1" t="s">
        <v>146</v>
      </c>
      <c r="I33" s="1">
        <v>39.5</v>
      </c>
      <c r="J33" s="1" t="s">
        <v>162</v>
      </c>
      <c r="K33" s="1">
        <v>38</v>
      </c>
    </row>
    <row r="34" ht="15" customHeight="1" spans="1:11">
      <c r="A34" s="4">
        <v>28</v>
      </c>
      <c r="B34" s="1" t="s">
        <v>128</v>
      </c>
      <c r="C34" s="1">
        <v>38.5</v>
      </c>
      <c r="D34" s="1" t="s">
        <v>234</v>
      </c>
      <c r="E34" s="1">
        <v>37.5</v>
      </c>
      <c r="F34" s="1" t="s">
        <v>160</v>
      </c>
      <c r="G34" s="1">
        <v>41</v>
      </c>
      <c r="H34" s="1" t="s">
        <v>196</v>
      </c>
      <c r="I34" s="1">
        <v>39</v>
      </c>
      <c r="J34" s="1" t="s">
        <v>207</v>
      </c>
      <c r="K34" s="1">
        <v>38</v>
      </c>
    </row>
    <row r="35" ht="15" customHeight="1" spans="1:11">
      <c r="A35" s="4">
        <v>29</v>
      </c>
      <c r="B35" s="1" t="s">
        <v>238</v>
      </c>
      <c r="C35" s="1">
        <v>38</v>
      </c>
      <c r="D35" s="1" t="s">
        <v>169</v>
      </c>
      <c r="E35" s="1">
        <v>37</v>
      </c>
      <c r="F35" s="1" t="s">
        <v>220</v>
      </c>
      <c r="G35" s="1">
        <v>41</v>
      </c>
      <c r="H35" s="1" t="s">
        <v>251</v>
      </c>
      <c r="I35" s="1">
        <v>39</v>
      </c>
      <c r="J35" s="1" t="s">
        <v>232</v>
      </c>
      <c r="K35" s="1">
        <v>38</v>
      </c>
    </row>
    <row r="36" ht="15" customHeight="1" spans="1:11">
      <c r="A36" s="4">
        <v>30</v>
      </c>
      <c r="B36" s="1" t="s">
        <v>258</v>
      </c>
      <c r="C36" s="1">
        <v>38</v>
      </c>
      <c r="D36" s="1" t="s">
        <v>189</v>
      </c>
      <c r="E36" s="1">
        <v>36.5</v>
      </c>
      <c r="F36" s="1" t="s">
        <v>260</v>
      </c>
      <c r="G36" s="1">
        <v>40.5</v>
      </c>
      <c r="H36" s="1" t="s">
        <v>141</v>
      </c>
      <c r="I36" s="1">
        <v>38.5</v>
      </c>
      <c r="J36" s="1" t="s">
        <v>247</v>
      </c>
      <c r="K36" s="1">
        <v>38</v>
      </c>
    </row>
    <row r="37" ht="15" customHeight="1" spans="1:11">
      <c r="A37" s="5" t="s">
        <v>82</v>
      </c>
      <c r="B37" s="6">
        <v>41.85</v>
      </c>
      <c r="C37" s="1"/>
      <c r="D37" s="6">
        <v>41.15</v>
      </c>
      <c r="E37" s="1"/>
      <c r="F37" s="7">
        <v>43.9333333333333</v>
      </c>
      <c r="G37" s="1"/>
      <c r="H37" s="6">
        <v>41.9666666666667</v>
      </c>
      <c r="I37" s="1"/>
      <c r="J37" s="8">
        <v>41.0833333333333</v>
      </c>
      <c r="K37" s="1"/>
    </row>
    <row r="38" ht="15" customHeight="1" spans="1:11">
      <c r="A38" s="4">
        <v>31</v>
      </c>
      <c r="B38" s="1" t="s">
        <v>158</v>
      </c>
      <c r="C38" s="1">
        <v>37.5</v>
      </c>
      <c r="D38" s="1" t="s">
        <v>214</v>
      </c>
      <c r="E38" s="1">
        <v>36.5</v>
      </c>
      <c r="F38" s="1" t="s">
        <v>195</v>
      </c>
      <c r="G38" s="1">
        <v>40</v>
      </c>
      <c r="H38" s="1" t="s">
        <v>106</v>
      </c>
      <c r="I38" s="1">
        <v>38</v>
      </c>
      <c r="J38" s="1" t="s">
        <v>187</v>
      </c>
      <c r="K38" s="1">
        <v>37.5</v>
      </c>
    </row>
    <row r="39" ht="15" customHeight="1" spans="1:11">
      <c r="A39" s="4">
        <v>32</v>
      </c>
      <c r="B39" s="1" t="s">
        <v>223</v>
      </c>
      <c r="C39" s="1">
        <v>37</v>
      </c>
      <c r="D39" s="1" t="s">
        <v>219</v>
      </c>
      <c r="E39" s="1">
        <v>36.5</v>
      </c>
      <c r="F39" s="1" t="s">
        <v>210</v>
      </c>
      <c r="G39" s="1">
        <v>40</v>
      </c>
      <c r="H39" s="1" t="s">
        <v>126</v>
      </c>
      <c r="I39" s="1">
        <v>38</v>
      </c>
      <c r="J39" s="1" t="s">
        <v>157</v>
      </c>
      <c r="K39" s="1">
        <v>37</v>
      </c>
    </row>
    <row r="40" ht="15" customHeight="1" spans="1:11">
      <c r="A40" s="4">
        <v>33</v>
      </c>
      <c r="B40" s="1" t="s">
        <v>228</v>
      </c>
      <c r="C40" s="1">
        <v>37</v>
      </c>
      <c r="D40" s="1" t="s">
        <v>174</v>
      </c>
      <c r="E40" s="1">
        <v>35.5</v>
      </c>
      <c r="F40" s="1" t="s">
        <v>185</v>
      </c>
      <c r="G40" s="1">
        <v>39.5</v>
      </c>
      <c r="H40" s="1" t="s">
        <v>211</v>
      </c>
      <c r="I40" s="1">
        <v>37.5</v>
      </c>
      <c r="J40" s="1" t="s">
        <v>142</v>
      </c>
      <c r="K40" s="1">
        <v>36</v>
      </c>
    </row>
    <row r="41" ht="15" customHeight="1" spans="1:11">
      <c r="A41" s="4">
        <v>34</v>
      </c>
      <c r="B41" s="1" t="s">
        <v>183</v>
      </c>
      <c r="C41" s="1">
        <v>36.5</v>
      </c>
      <c r="D41" s="1" t="s">
        <v>199</v>
      </c>
      <c r="E41" s="1">
        <v>35.5</v>
      </c>
      <c r="F41" s="1" t="s">
        <v>235</v>
      </c>
      <c r="G41" s="1">
        <v>39</v>
      </c>
      <c r="H41" s="1" t="s">
        <v>221</v>
      </c>
      <c r="I41" s="1">
        <v>37.5</v>
      </c>
      <c r="J41" s="1" t="s">
        <v>197</v>
      </c>
      <c r="K41" s="1">
        <v>36</v>
      </c>
    </row>
    <row r="42" ht="15" customHeight="1" spans="1:11">
      <c r="A42" s="4">
        <v>35</v>
      </c>
      <c r="B42" s="1" t="s">
        <v>243</v>
      </c>
      <c r="C42" s="1">
        <v>36.5</v>
      </c>
      <c r="D42" s="1" t="s">
        <v>179</v>
      </c>
      <c r="E42" s="1">
        <v>35</v>
      </c>
      <c r="F42" s="1" t="s">
        <v>250</v>
      </c>
      <c r="G42" s="1">
        <v>39</v>
      </c>
      <c r="H42" s="1" t="s">
        <v>226</v>
      </c>
      <c r="I42" s="1">
        <v>37</v>
      </c>
      <c r="J42" s="1" t="s">
        <v>212</v>
      </c>
      <c r="K42" s="1">
        <v>36</v>
      </c>
    </row>
    <row r="43" ht="15" customHeight="1" spans="1:11">
      <c r="A43" s="5" t="s">
        <v>82</v>
      </c>
      <c r="B43" s="6">
        <v>41.1428571428572</v>
      </c>
      <c r="C43" s="1"/>
      <c r="D43" s="8">
        <v>40.3857142857143</v>
      </c>
      <c r="E43" s="1"/>
      <c r="F43" s="7">
        <v>43.3</v>
      </c>
      <c r="G43" s="1"/>
      <c r="H43" s="6">
        <v>41.3428571428571</v>
      </c>
      <c r="I43" s="1"/>
      <c r="J43" s="6">
        <v>40.4285714285714</v>
      </c>
      <c r="K43" s="1"/>
    </row>
    <row r="44" ht="15" customHeight="1" spans="1:11">
      <c r="A44" s="4">
        <v>36</v>
      </c>
      <c r="B44" s="1" t="s">
        <v>198</v>
      </c>
      <c r="C44" s="1">
        <v>36</v>
      </c>
      <c r="D44" s="1" t="s">
        <v>204</v>
      </c>
      <c r="E44" s="1">
        <v>35</v>
      </c>
      <c r="F44" s="1" t="s">
        <v>215</v>
      </c>
      <c r="G44" s="1">
        <v>38</v>
      </c>
      <c r="H44" s="1" t="s">
        <v>241</v>
      </c>
      <c r="I44" s="1">
        <v>37</v>
      </c>
      <c r="J44" s="1" t="s">
        <v>252</v>
      </c>
      <c r="K44" s="1">
        <v>35.5</v>
      </c>
    </row>
    <row r="45" ht="15" customHeight="1" spans="1:11">
      <c r="A45" s="4">
        <v>37</v>
      </c>
      <c r="B45" s="1" t="s">
        <v>208</v>
      </c>
      <c r="C45" s="1">
        <v>36</v>
      </c>
      <c r="D45" s="1" t="s">
        <v>254</v>
      </c>
      <c r="E45" s="1">
        <v>35</v>
      </c>
      <c r="F45" s="1" t="s">
        <v>225</v>
      </c>
      <c r="G45" s="1">
        <v>38</v>
      </c>
      <c r="H45" s="1" t="s">
        <v>191</v>
      </c>
      <c r="I45" s="1">
        <v>36.5</v>
      </c>
      <c r="J45" s="1" t="s">
        <v>202</v>
      </c>
      <c r="K45" s="1">
        <v>35</v>
      </c>
    </row>
    <row r="46" ht="15" customHeight="1" spans="1:11">
      <c r="A46" s="4">
        <v>38</v>
      </c>
      <c r="B46" s="1" t="s">
        <v>253</v>
      </c>
      <c r="C46" s="1">
        <v>36</v>
      </c>
      <c r="D46" s="1" t="s">
        <v>244</v>
      </c>
      <c r="E46" s="1">
        <v>34.5</v>
      </c>
      <c r="F46" s="1" t="s">
        <v>230</v>
      </c>
      <c r="G46" s="1">
        <v>37</v>
      </c>
      <c r="H46" s="1" t="s">
        <v>236</v>
      </c>
      <c r="I46" s="1">
        <v>36.5</v>
      </c>
      <c r="J46" s="1" t="s">
        <v>237</v>
      </c>
      <c r="K46" s="1">
        <v>34</v>
      </c>
    </row>
    <row r="47" ht="15" customHeight="1" spans="1:11">
      <c r="A47" s="4">
        <v>39</v>
      </c>
      <c r="B47" s="1" t="s">
        <v>168</v>
      </c>
      <c r="C47" s="1">
        <v>35.5</v>
      </c>
      <c r="D47" s="1" t="s">
        <v>249</v>
      </c>
      <c r="E47" s="1">
        <v>34.5</v>
      </c>
      <c r="F47" s="1" t="s">
        <v>270</v>
      </c>
      <c r="G47" s="1">
        <v>37</v>
      </c>
      <c r="H47" s="1" t="s">
        <v>261</v>
      </c>
      <c r="I47" s="1">
        <v>36.5</v>
      </c>
      <c r="J47" s="1" t="s">
        <v>242</v>
      </c>
      <c r="K47" s="1">
        <v>34</v>
      </c>
    </row>
    <row r="48" ht="15" customHeight="1" spans="1:11">
      <c r="A48" s="4">
        <v>40</v>
      </c>
      <c r="B48" s="1" t="s">
        <v>248</v>
      </c>
      <c r="C48" s="1">
        <v>35.5</v>
      </c>
      <c r="D48" s="1" t="s">
        <v>164</v>
      </c>
      <c r="E48" s="1">
        <v>33.5</v>
      </c>
      <c r="F48" s="1" t="s">
        <v>255</v>
      </c>
      <c r="G48" s="1">
        <v>36.5</v>
      </c>
      <c r="H48" s="1" t="s">
        <v>276</v>
      </c>
      <c r="I48" s="1">
        <v>35.5</v>
      </c>
      <c r="J48" s="1" t="s">
        <v>272</v>
      </c>
      <c r="K48" s="1">
        <v>34</v>
      </c>
    </row>
    <row r="49" ht="15" customHeight="1" spans="1:11">
      <c r="A49" s="5" t="s">
        <v>82</v>
      </c>
      <c r="B49" s="6">
        <v>40.475</v>
      </c>
      <c r="C49" s="1"/>
      <c r="D49" s="8">
        <v>39.65</v>
      </c>
      <c r="E49" s="1"/>
      <c r="F49" s="7">
        <v>42.55</v>
      </c>
      <c r="G49" s="1"/>
      <c r="H49" s="6">
        <v>40.725</v>
      </c>
      <c r="I49" s="1"/>
      <c r="J49" s="6">
        <v>39.6875</v>
      </c>
      <c r="K49" s="1"/>
    </row>
    <row r="50" ht="15" customHeight="1" spans="1:11">
      <c r="A50" s="4">
        <v>41</v>
      </c>
      <c r="B50" s="1" t="s">
        <v>233</v>
      </c>
      <c r="C50" s="1">
        <v>35</v>
      </c>
      <c r="D50" s="1" t="s">
        <v>274</v>
      </c>
      <c r="E50" s="1">
        <v>32</v>
      </c>
      <c r="F50" s="1" t="s">
        <v>115</v>
      </c>
      <c r="G50" s="1">
        <v>36</v>
      </c>
      <c r="H50" s="1" t="s">
        <v>266</v>
      </c>
      <c r="I50" s="1">
        <v>35</v>
      </c>
      <c r="J50" s="1" t="s">
        <v>277</v>
      </c>
      <c r="K50" s="1">
        <v>31.5</v>
      </c>
    </row>
    <row r="51" ht="15" customHeight="1" spans="1:11">
      <c r="A51" s="4">
        <v>42</v>
      </c>
      <c r="B51" s="1" t="s">
        <v>263</v>
      </c>
      <c r="C51" s="1">
        <v>30</v>
      </c>
      <c r="D51" s="1" t="s">
        <v>264</v>
      </c>
      <c r="E51" s="1">
        <v>31</v>
      </c>
      <c r="F51" s="1" t="s">
        <v>245</v>
      </c>
      <c r="G51" s="1">
        <v>36</v>
      </c>
      <c r="H51" s="1" t="s">
        <v>256</v>
      </c>
      <c r="I51" s="1">
        <v>33.5</v>
      </c>
      <c r="J51" s="1" t="s">
        <v>182</v>
      </c>
      <c r="K51" s="1">
        <v>30.5</v>
      </c>
    </row>
    <row r="52" ht="15" customHeight="1" spans="1:11">
      <c r="A52" s="4">
        <v>43</v>
      </c>
      <c r="B52" s="1" t="s">
        <v>273</v>
      </c>
      <c r="C52" s="1">
        <v>26</v>
      </c>
      <c r="D52" s="1" t="s">
        <v>259</v>
      </c>
      <c r="E52" s="1">
        <v>30</v>
      </c>
      <c r="F52" s="1" t="s">
        <v>275</v>
      </c>
      <c r="G52" s="1">
        <v>35</v>
      </c>
      <c r="H52" s="1" t="s">
        <v>216</v>
      </c>
      <c r="I52" s="1">
        <v>33</v>
      </c>
      <c r="J52" s="1" t="s">
        <v>257</v>
      </c>
      <c r="K52" s="1">
        <v>29</v>
      </c>
    </row>
    <row r="53" ht="15" customHeight="1" spans="1:11">
      <c r="A53" s="4">
        <v>44</v>
      </c>
      <c r="B53" s="1" t="s">
        <v>268</v>
      </c>
      <c r="C53" s="1">
        <v>25.5</v>
      </c>
      <c r="D53" s="1" t="s">
        <v>269</v>
      </c>
      <c r="E53" s="1">
        <v>29.5</v>
      </c>
      <c r="F53" s="1" t="s">
        <v>265</v>
      </c>
      <c r="G53" s="1">
        <v>31</v>
      </c>
      <c r="H53" s="1" t="s">
        <v>271</v>
      </c>
      <c r="I53" s="1">
        <v>30.5</v>
      </c>
      <c r="J53" s="1" t="s">
        <v>267</v>
      </c>
      <c r="K53" s="1">
        <v>29</v>
      </c>
    </row>
    <row r="54" ht="15" customHeight="1" spans="1:11">
      <c r="A54" s="4">
        <v>45</v>
      </c>
      <c r="B54" s="1" t="s">
        <v>278</v>
      </c>
      <c r="C54" s="1">
        <v>13.5</v>
      </c>
      <c r="D54" s="1" t="s">
        <v>279</v>
      </c>
      <c r="E54" s="1">
        <v>22</v>
      </c>
      <c r="F54" s="1" t="s">
        <v>284</v>
      </c>
      <c r="G54" s="1">
        <v>29.5</v>
      </c>
      <c r="H54" s="1" t="s">
        <v>281</v>
      </c>
      <c r="I54" s="1">
        <v>24</v>
      </c>
      <c r="J54" s="1"/>
      <c r="K54" s="1"/>
    </row>
    <row r="55" ht="15" customHeight="1" spans="1:11">
      <c r="A55" s="5" t="s">
        <v>82</v>
      </c>
      <c r="B55" s="6">
        <v>38.8666666666667</v>
      </c>
      <c r="C55" s="1"/>
      <c r="D55" s="8">
        <v>38.4555555555556</v>
      </c>
      <c r="E55" s="1"/>
      <c r="F55" s="7">
        <v>41.5444444444444</v>
      </c>
      <c r="G55" s="1"/>
      <c r="H55" s="6">
        <v>39.6666666666667</v>
      </c>
      <c r="I55" s="1"/>
      <c r="J55" s="6">
        <v>38.8068181818182</v>
      </c>
      <c r="K55" s="1"/>
    </row>
    <row r="56" ht="15" customHeight="1" spans="1:11">
      <c r="A56" s="4">
        <v>46</v>
      </c>
      <c r="B56" s="1"/>
      <c r="C56" s="1"/>
      <c r="D56" s="1"/>
      <c r="E56" s="1"/>
      <c r="F56" s="1" t="s">
        <v>280</v>
      </c>
      <c r="G56" s="1">
        <v>28</v>
      </c>
      <c r="H56" s="1" t="s">
        <v>283</v>
      </c>
      <c r="I56" s="1">
        <v>24</v>
      </c>
      <c r="J56" s="1"/>
      <c r="K56" s="1"/>
    </row>
    <row r="57" ht="15" customHeight="1" spans="1:11">
      <c r="A57" s="4">
        <v>47</v>
      </c>
      <c r="B57" s="1"/>
      <c r="C57" s="1"/>
      <c r="D57" s="1"/>
      <c r="E57" s="1"/>
      <c r="F57" s="1" t="s">
        <v>282</v>
      </c>
      <c r="G57" s="1">
        <v>23.5</v>
      </c>
      <c r="H57" s="1"/>
      <c r="I57" s="1"/>
      <c r="J57" s="1"/>
      <c r="K57" s="1"/>
    </row>
    <row r="58" ht="15" customHeight="1" spans="1:11">
      <c r="A58" s="4">
        <v>48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" customHeight="1" spans="1:11">
      <c r="A59" s="4">
        <v>49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" customHeight="1" spans="1:11">
      <c r="A60" s="4">
        <v>50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" customHeight="1" spans="1:11">
      <c r="A61" s="5" t="s">
        <v>82</v>
      </c>
      <c r="B61" s="6">
        <v>38.8666666666667</v>
      </c>
      <c r="C61" s="1"/>
      <c r="D61" s="8">
        <v>38.4555555555556</v>
      </c>
      <c r="E61" s="1"/>
      <c r="F61" s="7">
        <v>40.8723404255319</v>
      </c>
      <c r="G61" s="1"/>
      <c r="H61" s="6">
        <v>39.3260869565217</v>
      </c>
      <c r="I61" s="1"/>
      <c r="J61" s="6">
        <v>38.8068181818182</v>
      </c>
      <c r="K61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showGridLines="0" workbookViewId="0">
      <selection activeCell="A1" sqref="A1"/>
    </sheetView>
  </sheetViews>
  <sheetFormatPr defaultColWidth="9" defaultRowHeight="13.5"/>
  <sheetData>
    <row r="1" ht="15" customHeight="1" spans="1:11">
      <c r="A1" s="4" t="s">
        <v>50</v>
      </c>
      <c r="B1" s="4" t="s">
        <v>51</v>
      </c>
      <c r="C1" s="4" t="s">
        <v>21</v>
      </c>
      <c r="D1" s="4" t="s">
        <v>53</v>
      </c>
      <c r="E1" s="4" t="s">
        <v>21</v>
      </c>
      <c r="F1" s="4" t="s">
        <v>54</v>
      </c>
      <c r="G1" s="4" t="s">
        <v>21</v>
      </c>
      <c r="H1" s="4" t="s">
        <v>55</v>
      </c>
      <c r="I1" s="4" t="s">
        <v>21</v>
      </c>
      <c r="J1" s="4" t="s">
        <v>56</v>
      </c>
      <c r="K1" s="4" t="s">
        <v>21</v>
      </c>
    </row>
    <row r="2" ht="15" customHeight="1" spans="1:11">
      <c r="A2" s="4">
        <v>1</v>
      </c>
      <c r="B2" s="1" t="s">
        <v>62</v>
      </c>
      <c r="C2" s="1">
        <v>64</v>
      </c>
      <c r="D2" s="1" t="s">
        <v>68</v>
      </c>
      <c r="E2" s="1">
        <v>65</v>
      </c>
      <c r="F2" s="1" t="s">
        <v>110</v>
      </c>
      <c r="G2" s="1">
        <v>65.5</v>
      </c>
      <c r="H2" s="1" t="s">
        <v>75</v>
      </c>
      <c r="I2" s="1">
        <v>63.5</v>
      </c>
      <c r="J2" s="1" t="s">
        <v>61</v>
      </c>
      <c r="K2" s="1">
        <v>65</v>
      </c>
    </row>
    <row r="3" ht="15" customHeight="1" spans="1:11">
      <c r="A3" s="4">
        <v>2</v>
      </c>
      <c r="B3" s="1" t="s">
        <v>67</v>
      </c>
      <c r="C3" s="1">
        <v>63.5</v>
      </c>
      <c r="D3" s="1" t="s">
        <v>58</v>
      </c>
      <c r="E3" s="1">
        <v>64.5</v>
      </c>
      <c r="F3" s="1" t="s">
        <v>59</v>
      </c>
      <c r="G3" s="1">
        <v>64</v>
      </c>
      <c r="H3" s="1" t="s">
        <v>60</v>
      </c>
      <c r="I3" s="1">
        <v>63</v>
      </c>
      <c r="J3" s="1" t="s">
        <v>66</v>
      </c>
      <c r="K3" s="1">
        <v>63</v>
      </c>
    </row>
    <row r="4" ht="15" customHeight="1" spans="1:11">
      <c r="A4" s="4">
        <v>3</v>
      </c>
      <c r="B4" s="1" t="s">
        <v>123</v>
      </c>
      <c r="C4" s="1">
        <v>63.5</v>
      </c>
      <c r="D4" s="1" t="s">
        <v>84</v>
      </c>
      <c r="E4" s="1">
        <v>63</v>
      </c>
      <c r="F4" s="1" t="s">
        <v>74</v>
      </c>
      <c r="G4" s="1">
        <v>64</v>
      </c>
      <c r="H4" s="1" t="s">
        <v>106</v>
      </c>
      <c r="I4" s="1">
        <v>62.5</v>
      </c>
      <c r="J4" s="1" t="s">
        <v>102</v>
      </c>
      <c r="K4" s="1">
        <v>62.5</v>
      </c>
    </row>
    <row r="5" ht="15" customHeight="1" spans="1:11">
      <c r="A5" s="4">
        <v>4</v>
      </c>
      <c r="B5" s="1" t="s">
        <v>133</v>
      </c>
      <c r="C5" s="1">
        <v>63</v>
      </c>
      <c r="D5" s="1" t="s">
        <v>164</v>
      </c>
      <c r="E5" s="1">
        <v>63</v>
      </c>
      <c r="F5" s="1" t="s">
        <v>95</v>
      </c>
      <c r="G5" s="1">
        <v>62.5</v>
      </c>
      <c r="H5" s="1" t="s">
        <v>65</v>
      </c>
      <c r="I5" s="1">
        <v>61.5</v>
      </c>
      <c r="J5" s="1" t="s">
        <v>71</v>
      </c>
      <c r="K5" s="1">
        <v>61</v>
      </c>
    </row>
    <row r="6" ht="15" customHeight="1" spans="1:11">
      <c r="A6" s="4">
        <v>5</v>
      </c>
      <c r="B6" s="1" t="s">
        <v>77</v>
      </c>
      <c r="C6" s="1">
        <v>62.5</v>
      </c>
      <c r="D6" s="1" t="s">
        <v>63</v>
      </c>
      <c r="E6" s="1">
        <v>62</v>
      </c>
      <c r="F6" s="1" t="s">
        <v>135</v>
      </c>
      <c r="G6" s="1">
        <v>62.5</v>
      </c>
      <c r="H6" s="1" t="s">
        <v>141</v>
      </c>
      <c r="I6" s="1">
        <v>61.5</v>
      </c>
      <c r="J6" s="1" t="s">
        <v>92</v>
      </c>
      <c r="K6" s="1">
        <v>59</v>
      </c>
    </row>
    <row r="7" ht="15" customHeight="1" spans="1:11">
      <c r="A7" s="5" t="s">
        <v>82</v>
      </c>
      <c r="B7" s="6">
        <v>63.3</v>
      </c>
      <c r="C7" s="1"/>
      <c r="D7" s="6">
        <v>63.5</v>
      </c>
      <c r="E7" s="1"/>
      <c r="F7" s="7">
        <v>63.7</v>
      </c>
      <c r="G7" s="1"/>
      <c r="H7" s="6">
        <v>62.4</v>
      </c>
      <c r="I7" s="1"/>
      <c r="J7" s="8">
        <v>62.1</v>
      </c>
      <c r="K7" s="1"/>
    </row>
    <row r="8" ht="15" customHeight="1" spans="1:11">
      <c r="A8" s="4">
        <v>6</v>
      </c>
      <c r="B8" s="1" t="s">
        <v>57</v>
      </c>
      <c r="C8" s="1">
        <v>61.5</v>
      </c>
      <c r="D8" s="1" t="s">
        <v>73</v>
      </c>
      <c r="E8" s="1">
        <v>62</v>
      </c>
      <c r="F8" s="1" t="s">
        <v>69</v>
      </c>
      <c r="G8" s="1">
        <v>62</v>
      </c>
      <c r="H8" s="1" t="s">
        <v>70</v>
      </c>
      <c r="I8" s="1">
        <v>61</v>
      </c>
      <c r="J8" s="1" t="s">
        <v>97</v>
      </c>
      <c r="K8" s="1">
        <v>59</v>
      </c>
    </row>
    <row r="9" ht="15" customHeight="1" spans="1:11">
      <c r="A9" s="4">
        <v>7</v>
      </c>
      <c r="B9" s="1" t="s">
        <v>93</v>
      </c>
      <c r="C9" s="1">
        <v>61</v>
      </c>
      <c r="D9" s="1" t="s">
        <v>169</v>
      </c>
      <c r="E9" s="1">
        <v>60</v>
      </c>
      <c r="F9" s="1" t="s">
        <v>90</v>
      </c>
      <c r="G9" s="1">
        <v>61.5</v>
      </c>
      <c r="H9" s="1" t="s">
        <v>96</v>
      </c>
      <c r="I9" s="1">
        <v>60</v>
      </c>
      <c r="J9" s="1" t="s">
        <v>76</v>
      </c>
      <c r="K9" s="1">
        <v>58.5</v>
      </c>
    </row>
    <row r="10" ht="15" customHeight="1" spans="1:11">
      <c r="A10" s="4">
        <v>8</v>
      </c>
      <c r="B10" s="1" t="s">
        <v>113</v>
      </c>
      <c r="C10" s="1">
        <v>60</v>
      </c>
      <c r="D10" s="1" t="s">
        <v>94</v>
      </c>
      <c r="E10" s="1">
        <v>58.5</v>
      </c>
      <c r="F10" s="1" t="s">
        <v>64</v>
      </c>
      <c r="G10" s="1">
        <v>61</v>
      </c>
      <c r="H10" s="1" t="s">
        <v>101</v>
      </c>
      <c r="I10" s="1">
        <v>59.5</v>
      </c>
      <c r="J10" s="1" t="s">
        <v>112</v>
      </c>
      <c r="K10" s="1">
        <v>58</v>
      </c>
    </row>
    <row r="11" ht="15" customHeight="1" spans="1:11">
      <c r="A11" s="4">
        <v>9</v>
      </c>
      <c r="B11" s="1" t="s">
        <v>83</v>
      </c>
      <c r="C11" s="1">
        <v>59</v>
      </c>
      <c r="D11" s="1" t="s">
        <v>99</v>
      </c>
      <c r="E11" s="1">
        <v>58</v>
      </c>
      <c r="F11" s="1" t="s">
        <v>85</v>
      </c>
      <c r="G11" s="1">
        <v>61</v>
      </c>
      <c r="H11" s="1" t="s">
        <v>80</v>
      </c>
      <c r="I11" s="1">
        <v>59</v>
      </c>
      <c r="J11" s="1" t="s">
        <v>87</v>
      </c>
      <c r="K11" s="1">
        <v>56</v>
      </c>
    </row>
    <row r="12" ht="15" customHeight="1" spans="1:11">
      <c r="A12" s="4">
        <v>10</v>
      </c>
      <c r="B12" s="1" t="s">
        <v>103</v>
      </c>
      <c r="C12" s="1">
        <v>59</v>
      </c>
      <c r="D12" s="1" t="s">
        <v>109</v>
      </c>
      <c r="E12" s="1">
        <v>58</v>
      </c>
      <c r="F12" s="1" t="s">
        <v>115</v>
      </c>
      <c r="G12" s="1">
        <v>60.5</v>
      </c>
      <c r="H12" s="1" t="s">
        <v>86</v>
      </c>
      <c r="I12" s="1">
        <v>58.5</v>
      </c>
      <c r="J12" s="1" t="s">
        <v>117</v>
      </c>
      <c r="K12" s="1">
        <v>56</v>
      </c>
    </row>
    <row r="13" ht="15" customHeight="1" spans="1:11">
      <c r="A13" s="5" t="s">
        <v>82</v>
      </c>
      <c r="B13" s="6">
        <v>61.7</v>
      </c>
      <c r="C13" s="1"/>
      <c r="D13" s="6">
        <v>61.4</v>
      </c>
      <c r="E13" s="1"/>
      <c r="F13" s="7">
        <v>62.45</v>
      </c>
      <c r="G13" s="1"/>
      <c r="H13" s="6">
        <v>61</v>
      </c>
      <c r="I13" s="1"/>
      <c r="J13" s="8">
        <v>59.8</v>
      </c>
      <c r="K13" s="1"/>
    </row>
    <row r="14" ht="15" customHeight="1" spans="1:11">
      <c r="A14" s="4">
        <v>11</v>
      </c>
      <c r="B14" s="1" t="s">
        <v>138</v>
      </c>
      <c r="C14" s="1">
        <v>59</v>
      </c>
      <c r="D14" s="1" t="s">
        <v>78</v>
      </c>
      <c r="E14" s="1">
        <v>56.5</v>
      </c>
      <c r="F14" s="1" t="s">
        <v>130</v>
      </c>
      <c r="G14" s="1">
        <v>60</v>
      </c>
      <c r="H14" s="1" t="s">
        <v>116</v>
      </c>
      <c r="I14" s="1">
        <v>58.5</v>
      </c>
      <c r="J14" s="1" t="s">
        <v>127</v>
      </c>
      <c r="K14" s="1">
        <v>56</v>
      </c>
    </row>
    <row r="15" ht="15" customHeight="1" spans="1:11">
      <c r="A15" s="4">
        <v>12</v>
      </c>
      <c r="B15" s="1" t="s">
        <v>153</v>
      </c>
      <c r="C15" s="1">
        <v>58</v>
      </c>
      <c r="D15" s="1" t="s">
        <v>149</v>
      </c>
      <c r="E15" s="1">
        <v>56.5</v>
      </c>
      <c r="F15" s="1" t="s">
        <v>140</v>
      </c>
      <c r="G15" s="1">
        <v>60</v>
      </c>
      <c r="H15" s="1" t="s">
        <v>111</v>
      </c>
      <c r="I15" s="1">
        <v>57.5</v>
      </c>
      <c r="J15" s="1" t="s">
        <v>132</v>
      </c>
      <c r="K15" s="1">
        <v>55.5</v>
      </c>
    </row>
    <row r="16" ht="15" customHeight="1" spans="1:11">
      <c r="A16" s="4">
        <v>13</v>
      </c>
      <c r="B16" s="1" t="s">
        <v>183</v>
      </c>
      <c r="C16" s="1">
        <v>57.5</v>
      </c>
      <c r="D16" s="1" t="s">
        <v>114</v>
      </c>
      <c r="E16" s="1">
        <v>56</v>
      </c>
      <c r="F16" s="1" t="s">
        <v>160</v>
      </c>
      <c r="G16" s="1">
        <v>59</v>
      </c>
      <c r="H16" s="1" t="s">
        <v>146</v>
      </c>
      <c r="I16" s="1">
        <v>57</v>
      </c>
      <c r="J16" s="1" t="s">
        <v>137</v>
      </c>
      <c r="K16" s="1">
        <v>55.5</v>
      </c>
    </row>
    <row r="17" ht="15" customHeight="1" spans="1:11">
      <c r="A17" s="4">
        <v>14</v>
      </c>
      <c r="B17" s="1" t="s">
        <v>72</v>
      </c>
      <c r="C17" s="1">
        <v>57</v>
      </c>
      <c r="D17" s="1" t="s">
        <v>89</v>
      </c>
      <c r="E17" s="1">
        <v>55.5</v>
      </c>
      <c r="F17" s="1" t="s">
        <v>100</v>
      </c>
      <c r="G17" s="1">
        <v>58.5</v>
      </c>
      <c r="H17" s="1" t="s">
        <v>91</v>
      </c>
      <c r="I17" s="1">
        <v>55.5</v>
      </c>
      <c r="J17" s="1" t="s">
        <v>177</v>
      </c>
      <c r="K17" s="1">
        <v>55.5</v>
      </c>
    </row>
    <row r="18" ht="15" customHeight="1" spans="1:11">
      <c r="A18" s="4">
        <v>15</v>
      </c>
      <c r="B18" s="1" t="s">
        <v>148</v>
      </c>
      <c r="C18" s="1">
        <v>57</v>
      </c>
      <c r="D18" s="1" t="s">
        <v>129</v>
      </c>
      <c r="E18" s="1">
        <v>55.5</v>
      </c>
      <c r="F18" s="1" t="s">
        <v>150</v>
      </c>
      <c r="G18" s="1">
        <v>58</v>
      </c>
      <c r="H18" s="1" t="s">
        <v>121</v>
      </c>
      <c r="I18" s="1">
        <v>54.5</v>
      </c>
      <c r="J18" s="1" t="s">
        <v>107</v>
      </c>
      <c r="K18" s="1">
        <v>54.5</v>
      </c>
    </row>
    <row r="19" ht="15" customHeight="1" spans="1:11">
      <c r="A19" s="5" t="s">
        <v>82</v>
      </c>
      <c r="B19" s="6">
        <v>60.3666666666667</v>
      </c>
      <c r="C19" s="1"/>
      <c r="D19" s="6">
        <v>59.6</v>
      </c>
      <c r="E19" s="1"/>
      <c r="F19" s="7">
        <v>61.3333333333333</v>
      </c>
      <c r="G19" s="1"/>
      <c r="H19" s="6">
        <v>59.5333333333333</v>
      </c>
      <c r="I19" s="1"/>
      <c r="J19" s="8">
        <v>58.3333333333333</v>
      </c>
      <c r="K19" s="1"/>
    </row>
    <row r="20" ht="15" customHeight="1" spans="1:11">
      <c r="A20" s="4">
        <v>16</v>
      </c>
      <c r="B20" s="1" t="s">
        <v>88</v>
      </c>
      <c r="C20" s="1">
        <v>56</v>
      </c>
      <c r="D20" s="1" t="s">
        <v>119</v>
      </c>
      <c r="E20" s="1">
        <v>55</v>
      </c>
      <c r="F20" s="1" t="s">
        <v>175</v>
      </c>
      <c r="G20" s="1">
        <v>58</v>
      </c>
      <c r="H20" s="1" t="s">
        <v>201</v>
      </c>
      <c r="I20" s="1">
        <v>54.5</v>
      </c>
      <c r="J20" s="1" t="s">
        <v>162</v>
      </c>
      <c r="K20" s="1">
        <v>53</v>
      </c>
    </row>
    <row r="21" ht="15" customHeight="1" spans="1:11">
      <c r="A21" s="4">
        <v>17</v>
      </c>
      <c r="B21" s="1" t="s">
        <v>98</v>
      </c>
      <c r="C21" s="1">
        <v>56</v>
      </c>
      <c r="D21" s="1" t="s">
        <v>104</v>
      </c>
      <c r="E21" s="1">
        <v>54</v>
      </c>
      <c r="F21" s="1" t="s">
        <v>125</v>
      </c>
      <c r="G21" s="1">
        <v>57.5</v>
      </c>
      <c r="H21" s="1" t="s">
        <v>171</v>
      </c>
      <c r="I21" s="1">
        <v>54</v>
      </c>
      <c r="J21" s="1" t="s">
        <v>182</v>
      </c>
      <c r="K21" s="1">
        <v>52.5</v>
      </c>
    </row>
    <row r="22" ht="15" customHeight="1" spans="1:11">
      <c r="A22" s="4">
        <v>18</v>
      </c>
      <c r="B22" s="1" t="s">
        <v>128</v>
      </c>
      <c r="C22" s="1">
        <v>56</v>
      </c>
      <c r="D22" s="1" t="s">
        <v>179</v>
      </c>
      <c r="E22" s="1">
        <v>54</v>
      </c>
      <c r="F22" s="1" t="s">
        <v>195</v>
      </c>
      <c r="G22" s="1">
        <v>57.5</v>
      </c>
      <c r="H22" s="1" t="s">
        <v>136</v>
      </c>
      <c r="I22" s="1">
        <v>51.5</v>
      </c>
      <c r="J22" s="1" t="s">
        <v>122</v>
      </c>
      <c r="K22" s="1">
        <v>52</v>
      </c>
    </row>
    <row r="23" ht="15" customHeight="1" spans="1:11">
      <c r="A23" s="4">
        <v>19</v>
      </c>
      <c r="B23" s="1" t="s">
        <v>188</v>
      </c>
      <c r="C23" s="1">
        <v>55.5</v>
      </c>
      <c r="D23" s="1" t="s">
        <v>124</v>
      </c>
      <c r="E23" s="1">
        <v>53.5</v>
      </c>
      <c r="F23" s="1" t="s">
        <v>79</v>
      </c>
      <c r="G23" s="1">
        <v>55</v>
      </c>
      <c r="H23" s="1" t="s">
        <v>151</v>
      </c>
      <c r="I23" s="1">
        <v>51.5</v>
      </c>
      <c r="J23" s="1" t="s">
        <v>172</v>
      </c>
      <c r="K23" s="1">
        <v>51</v>
      </c>
    </row>
    <row r="24" ht="15" customHeight="1" spans="1:11">
      <c r="A24" s="4">
        <v>20</v>
      </c>
      <c r="B24" s="1" t="s">
        <v>108</v>
      </c>
      <c r="C24" s="1">
        <v>54</v>
      </c>
      <c r="D24" s="1" t="s">
        <v>234</v>
      </c>
      <c r="E24" s="1">
        <v>53</v>
      </c>
      <c r="F24" s="1" t="s">
        <v>230</v>
      </c>
      <c r="G24" s="1">
        <v>54</v>
      </c>
      <c r="H24" s="1" t="s">
        <v>161</v>
      </c>
      <c r="I24" s="1">
        <v>50.5</v>
      </c>
      <c r="J24" s="1" t="s">
        <v>202</v>
      </c>
      <c r="K24" s="1">
        <v>50.5</v>
      </c>
    </row>
    <row r="25" ht="15" customHeight="1" spans="1:11">
      <c r="A25" s="5" t="s">
        <v>82</v>
      </c>
      <c r="B25" s="6">
        <v>59.15</v>
      </c>
      <c r="C25" s="1"/>
      <c r="D25" s="6">
        <v>58.175</v>
      </c>
      <c r="E25" s="1"/>
      <c r="F25" s="7">
        <v>60.1</v>
      </c>
      <c r="G25" s="1"/>
      <c r="H25" s="6">
        <v>57.75</v>
      </c>
      <c r="I25" s="1"/>
      <c r="J25" s="8">
        <v>56.7</v>
      </c>
      <c r="K25" s="1"/>
    </row>
    <row r="26" ht="15" customHeight="1" spans="1:11">
      <c r="A26" s="4">
        <v>21</v>
      </c>
      <c r="B26" s="1" t="s">
        <v>208</v>
      </c>
      <c r="C26" s="1">
        <v>53.5</v>
      </c>
      <c r="D26" s="1" t="s">
        <v>139</v>
      </c>
      <c r="E26" s="1">
        <v>52.5</v>
      </c>
      <c r="F26" s="1" t="s">
        <v>120</v>
      </c>
      <c r="G26" s="1">
        <v>53.5</v>
      </c>
      <c r="H26" s="1" t="s">
        <v>216</v>
      </c>
      <c r="I26" s="1">
        <v>50.5</v>
      </c>
      <c r="J26" s="1" t="s">
        <v>142</v>
      </c>
      <c r="K26" s="1">
        <v>49</v>
      </c>
    </row>
    <row r="27" ht="15" customHeight="1" spans="1:11">
      <c r="A27" s="4">
        <v>22</v>
      </c>
      <c r="B27" s="1" t="s">
        <v>118</v>
      </c>
      <c r="C27" s="1">
        <v>53</v>
      </c>
      <c r="D27" s="1" t="s">
        <v>154</v>
      </c>
      <c r="E27" s="1">
        <v>51.5</v>
      </c>
      <c r="F27" s="1" t="s">
        <v>170</v>
      </c>
      <c r="G27" s="1">
        <v>52.5</v>
      </c>
      <c r="H27" s="1" t="s">
        <v>191</v>
      </c>
      <c r="I27" s="1">
        <v>49.5</v>
      </c>
      <c r="J27" s="1" t="s">
        <v>81</v>
      </c>
      <c r="K27" s="1">
        <v>47.5</v>
      </c>
    </row>
    <row r="28" ht="15" customHeight="1" spans="1:11">
      <c r="A28" s="4">
        <v>23</v>
      </c>
      <c r="B28" s="1" t="s">
        <v>213</v>
      </c>
      <c r="C28" s="1">
        <v>52</v>
      </c>
      <c r="D28" s="1" t="s">
        <v>199</v>
      </c>
      <c r="E28" s="1">
        <v>51.5</v>
      </c>
      <c r="F28" s="1" t="s">
        <v>105</v>
      </c>
      <c r="G28" s="1">
        <v>51.5</v>
      </c>
      <c r="H28" s="1" t="s">
        <v>156</v>
      </c>
      <c r="I28" s="1">
        <v>48.5</v>
      </c>
      <c r="J28" s="1" t="s">
        <v>147</v>
      </c>
      <c r="K28" s="1">
        <v>47.5</v>
      </c>
    </row>
    <row r="29" ht="15" customHeight="1" spans="1:11">
      <c r="A29" s="4">
        <v>24</v>
      </c>
      <c r="B29" s="1" t="s">
        <v>143</v>
      </c>
      <c r="C29" s="1">
        <v>51.5</v>
      </c>
      <c r="D29" s="1" t="s">
        <v>219</v>
      </c>
      <c r="E29" s="1">
        <v>51</v>
      </c>
      <c r="F29" s="1" t="s">
        <v>145</v>
      </c>
      <c r="G29" s="1">
        <v>51.5</v>
      </c>
      <c r="H29" s="1" t="s">
        <v>166</v>
      </c>
      <c r="I29" s="1">
        <v>48.5</v>
      </c>
      <c r="J29" s="1" t="s">
        <v>152</v>
      </c>
      <c r="K29" s="1">
        <v>47.5</v>
      </c>
    </row>
    <row r="30" ht="15" customHeight="1" spans="1:11">
      <c r="A30" s="4">
        <v>25</v>
      </c>
      <c r="B30" s="1" t="s">
        <v>158</v>
      </c>
      <c r="C30" s="1">
        <v>51.5</v>
      </c>
      <c r="D30" s="1" t="s">
        <v>189</v>
      </c>
      <c r="E30" s="1">
        <v>50.5</v>
      </c>
      <c r="F30" s="1" t="s">
        <v>220</v>
      </c>
      <c r="G30" s="1">
        <v>51.5</v>
      </c>
      <c r="H30" s="1" t="s">
        <v>196</v>
      </c>
      <c r="I30" s="1">
        <v>48.5</v>
      </c>
      <c r="J30" s="1" t="s">
        <v>237</v>
      </c>
      <c r="K30" s="1">
        <v>46.5</v>
      </c>
    </row>
    <row r="31" ht="15" customHeight="1" spans="1:11">
      <c r="A31" s="5" t="s">
        <v>82</v>
      </c>
      <c r="B31" s="6">
        <v>57.78</v>
      </c>
      <c r="C31" s="1"/>
      <c r="D31" s="6">
        <v>56.82</v>
      </c>
      <c r="E31" s="1"/>
      <c r="F31" s="7">
        <v>58.5</v>
      </c>
      <c r="G31" s="1"/>
      <c r="H31" s="6">
        <v>56.02</v>
      </c>
      <c r="I31" s="1"/>
      <c r="J31" s="8">
        <v>54.88</v>
      </c>
      <c r="K31" s="1"/>
    </row>
    <row r="32" ht="15" customHeight="1" spans="1:11">
      <c r="A32" s="4">
        <v>26</v>
      </c>
      <c r="B32" s="1" t="s">
        <v>173</v>
      </c>
      <c r="C32" s="1">
        <v>51.5</v>
      </c>
      <c r="D32" s="1" t="s">
        <v>174</v>
      </c>
      <c r="E32" s="1">
        <v>50</v>
      </c>
      <c r="F32" s="1" t="s">
        <v>185</v>
      </c>
      <c r="G32" s="1">
        <v>51</v>
      </c>
      <c r="H32" s="1" t="s">
        <v>206</v>
      </c>
      <c r="I32" s="1">
        <v>48.5</v>
      </c>
      <c r="J32" s="1" t="s">
        <v>192</v>
      </c>
      <c r="K32" s="1">
        <v>45.5</v>
      </c>
    </row>
    <row r="33" ht="15" customHeight="1" spans="1:11">
      <c r="A33" s="4">
        <v>27</v>
      </c>
      <c r="B33" s="1" t="s">
        <v>163</v>
      </c>
      <c r="C33" s="1">
        <v>51</v>
      </c>
      <c r="D33" s="1" t="s">
        <v>214</v>
      </c>
      <c r="E33" s="1">
        <v>49</v>
      </c>
      <c r="F33" s="1" t="s">
        <v>210</v>
      </c>
      <c r="G33" s="1">
        <v>51</v>
      </c>
      <c r="H33" s="1" t="s">
        <v>126</v>
      </c>
      <c r="I33" s="1">
        <v>48</v>
      </c>
      <c r="J33" s="1" t="s">
        <v>187</v>
      </c>
      <c r="K33" s="1">
        <v>44.5</v>
      </c>
    </row>
    <row r="34" ht="15" customHeight="1" spans="1:11">
      <c r="A34" s="4">
        <v>28</v>
      </c>
      <c r="B34" s="1" t="s">
        <v>218</v>
      </c>
      <c r="C34" s="1">
        <v>49</v>
      </c>
      <c r="D34" s="1" t="s">
        <v>134</v>
      </c>
      <c r="E34" s="1">
        <v>48.5</v>
      </c>
      <c r="F34" s="1" t="s">
        <v>205</v>
      </c>
      <c r="G34" s="1">
        <v>50.5</v>
      </c>
      <c r="H34" s="1" t="s">
        <v>131</v>
      </c>
      <c r="I34" s="1">
        <v>47.5</v>
      </c>
      <c r="J34" s="1" t="s">
        <v>197</v>
      </c>
      <c r="K34" s="1">
        <v>43</v>
      </c>
    </row>
    <row r="35" ht="15" customHeight="1" spans="1:11">
      <c r="A35" s="4">
        <v>29</v>
      </c>
      <c r="B35" s="1" t="s">
        <v>238</v>
      </c>
      <c r="C35" s="1">
        <v>49</v>
      </c>
      <c r="D35" s="1" t="s">
        <v>194</v>
      </c>
      <c r="E35" s="1">
        <v>48.5</v>
      </c>
      <c r="F35" s="1" t="s">
        <v>190</v>
      </c>
      <c r="G35" s="1">
        <v>50</v>
      </c>
      <c r="H35" s="1" t="s">
        <v>221</v>
      </c>
      <c r="I35" s="1">
        <v>47</v>
      </c>
      <c r="J35" s="1" t="s">
        <v>232</v>
      </c>
      <c r="K35" s="1">
        <v>42.5</v>
      </c>
    </row>
    <row r="36" ht="15" customHeight="1" spans="1:11">
      <c r="A36" s="4">
        <v>30</v>
      </c>
      <c r="B36" s="1" t="s">
        <v>168</v>
      </c>
      <c r="C36" s="1">
        <v>48.5</v>
      </c>
      <c r="D36" s="1" t="s">
        <v>184</v>
      </c>
      <c r="E36" s="1">
        <v>48</v>
      </c>
      <c r="F36" s="1" t="s">
        <v>200</v>
      </c>
      <c r="G36" s="1">
        <v>48</v>
      </c>
      <c r="H36" s="1" t="s">
        <v>176</v>
      </c>
      <c r="I36" s="1">
        <v>45.5</v>
      </c>
      <c r="J36" s="1" t="s">
        <v>207</v>
      </c>
      <c r="K36" s="1">
        <v>42</v>
      </c>
    </row>
    <row r="37" ht="15" customHeight="1" spans="1:11">
      <c r="A37" s="5" t="s">
        <v>82</v>
      </c>
      <c r="B37" s="6">
        <v>56.45</v>
      </c>
      <c r="C37" s="1"/>
      <c r="D37" s="6">
        <v>55.4833333333333</v>
      </c>
      <c r="E37" s="1"/>
      <c r="F37" s="7">
        <v>57.1</v>
      </c>
      <c r="G37" s="1"/>
      <c r="H37" s="6">
        <v>54.5666666666667</v>
      </c>
      <c r="I37" s="1"/>
      <c r="J37" s="8">
        <v>52.9833333333333</v>
      </c>
      <c r="K37" s="1"/>
    </row>
    <row r="38" ht="15" customHeight="1" spans="1:11">
      <c r="A38" s="4">
        <v>31</v>
      </c>
      <c r="B38" s="1" t="s">
        <v>203</v>
      </c>
      <c r="C38" s="1">
        <v>48</v>
      </c>
      <c r="D38" s="1" t="s">
        <v>224</v>
      </c>
      <c r="E38" s="1">
        <v>48</v>
      </c>
      <c r="F38" s="1" t="s">
        <v>155</v>
      </c>
      <c r="G38" s="1">
        <v>47</v>
      </c>
      <c r="H38" s="1" t="s">
        <v>181</v>
      </c>
      <c r="I38" s="1">
        <v>45</v>
      </c>
      <c r="J38" s="1" t="s">
        <v>212</v>
      </c>
      <c r="K38" s="1">
        <v>40.5</v>
      </c>
    </row>
    <row r="39" ht="15" customHeight="1" spans="1:11">
      <c r="A39" s="4">
        <v>32</v>
      </c>
      <c r="B39" s="1" t="s">
        <v>178</v>
      </c>
      <c r="C39" s="1">
        <v>46</v>
      </c>
      <c r="D39" s="1" t="s">
        <v>159</v>
      </c>
      <c r="E39" s="1">
        <v>47.5</v>
      </c>
      <c r="F39" s="1" t="s">
        <v>180</v>
      </c>
      <c r="G39" s="1">
        <v>47</v>
      </c>
      <c r="H39" s="1" t="s">
        <v>226</v>
      </c>
      <c r="I39" s="1">
        <v>44</v>
      </c>
      <c r="J39" s="1" t="s">
        <v>157</v>
      </c>
      <c r="K39" s="1">
        <v>39</v>
      </c>
    </row>
    <row r="40" ht="15" customHeight="1" spans="1:11">
      <c r="A40" s="4">
        <v>33</v>
      </c>
      <c r="B40" s="1" t="s">
        <v>198</v>
      </c>
      <c r="C40" s="1">
        <v>45.5</v>
      </c>
      <c r="D40" s="1" t="s">
        <v>144</v>
      </c>
      <c r="E40" s="1">
        <v>47</v>
      </c>
      <c r="F40" s="1" t="s">
        <v>215</v>
      </c>
      <c r="G40" s="1">
        <v>47</v>
      </c>
      <c r="H40" s="1" t="s">
        <v>186</v>
      </c>
      <c r="I40" s="1">
        <v>43.5</v>
      </c>
      <c r="J40" s="1" t="s">
        <v>247</v>
      </c>
      <c r="K40" s="1">
        <v>39</v>
      </c>
    </row>
    <row r="41" ht="15" customHeight="1" spans="1:11">
      <c r="A41" s="4">
        <v>34</v>
      </c>
      <c r="B41" s="1" t="s">
        <v>243</v>
      </c>
      <c r="C41" s="1">
        <v>41</v>
      </c>
      <c r="D41" s="1" t="s">
        <v>204</v>
      </c>
      <c r="E41" s="1">
        <v>45</v>
      </c>
      <c r="F41" s="1" t="s">
        <v>255</v>
      </c>
      <c r="G41" s="1">
        <v>45.5</v>
      </c>
      <c r="H41" s="1" t="s">
        <v>261</v>
      </c>
      <c r="I41" s="1">
        <v>42.5</v>
      </c>
      <c r="J41" s="1" t="s">
        <v>167</v>
      </c>
      <c r="K41" s="1">
        <v>38.5</v>
      </c>
    </row>
    <row r="42" ht="15" customHeight="1" spans="1:11">
      <c r="A42" s="4">
        <v>35</v>
      </c>
      <c r="B42" s="1" t="s">
        <v>253</v>
      </c>
      <c r="C42" s="1">
        <v>41</v>
      </c>
      <c r="D42" s="1" t="s">
        <v>249</v>
      </c>
      <c r="E42" s="1">
        <v>43</v>
      </c>
      <c r="F42" s="1" t="s">
        <v>225</v>
      </c>
      <c r="G42" s="1">
        <v>44.5</v>
      </c>
      <c r="H42" s="1" t="s">
        <v>251</v>
      </c>
      <c r="I42" s="1">
        <v>42</v>
      </c>
      <c r="J42" s="1" t="s">
        <v>227</v>
      </c>
      <c r="K42" s="1">
        <v>38.5</v>
      </c>
    </row>
    <row r="43" ht="15" customHeight="1" spans="1:11">
      <c r="A43" s="5" t="s">
        <v>82</v>
      </c>
      <c r="B43" s="6">
        <v>54.7142857142857</v>
      </c>
      <c r="C43" s="1"/>
      <c r="D43" s="6">
        <v>54.1428571428572</v>
      </c>
      <c r="E43" s="1"/>
      <c r="F43" s="7">
        <v>55.5428571428571</v>
      </c>
      <c r="G43" s="1"/>
      <c r="H43" s="6">
        <v>52.9714285714286</v>
      </c>
      <c r="I43" s="1"/>
      <c r="J43" s="8">
        <v>51</v>
      </c>
      <c r="K43" s="1"/>
    </row>
    <row r="44" ht="15" customHeight="1" spans="1:11">
      <c r="A44" s="4">
        <v>36</v>
      </c>
      <c r="B44" s="1" t="s">
        <v>223</v>
      </c>
      <c r="C44" s="1">
        <v>40.5</v>
      </c>
      <c r="D44" s="1" t="s">
        <v>209</v>
      </c>
      <c r="E44" s="1">
        <v>39</v>
      </c>
      <c r="F44" s="1" t="s">
        <v>165</v>
      </c>
      <c r="G44" s="1">
        <v>42.5</v>
      </c>
      <c r="H44" s="1" t="s">
        <v>231</v>
      </c>
      <c r="I44" s="1">
        <v>40.5</v>
      </c>
      <c r="J44" s="1" t="s">
        <v>242</v>
      </c>
      <c r="K44" s="1">
        <v>35.5</v>
      </c>
    </row>
    <row r="45" ht="15" customHeight="1" spans="1:11">
      <c r="A45" s="4">
        <v>37</v>
      </c>
      <c r="B45" s="1" t="s">
        <v>228</v>
      </c>
      <c r="C45" s="1">
        <v>40</v>
      </c>
      <c r="D45" s="1" t="s">
        <v>239</v>
      </c>
      <c r="E45" s="1">
        <v>35</v>
      </c>
      <c r="F45" s="1" t="s">
        <v>240</v>
      </c>
      <c r="G45" s="1">
        <v>38.5</v>
      </c>
      <c r="H45" s="1" t="s">
        <v>246</v>
      </c>
      <c r="I45" s="1">
        <v>40</v>
      </c>
      <c r="J45" s="1" t="s">
        <v>217</v>
      </c>
      <c r="K45" s="1">
        <v>33</v>
      </c>
    </row>
    <row r="46" ht="15" customHeight="1" spans="1:11">
      <c r="A46" s="4">
        <v>38</v>
      </c>
      <c r="B46" s="1" t="s">
        <v>193</v>
      </c>
      <c r="C46" s="1">
        <v>39</v>
      </c>
      <c r="D46" s="1" t="s">
        <v>229</v>
      </c>
      <c r="E46" s="1">
        <v>34.5</v>
      </c>
      <c r="F46" s="1" t="s">
        <v>245</v>
      </c>
      <c r="G46" s="1">
        <v>38.5</v>
      </c>
      <c r="H46" s="1" t="s">
        <v>256</v>
      </c>
      <c r="I46" s="1">
        <v>39.5</v>
      </c>
      <c r="J46" s="1" t="s">
        <v>252</v>
      </c>
      <c r="K46" s="1">
        <v>32.5</v>
      </c>
    </row>
    <row r="47" ht="15" customHeight="1" spans="1:11">
      <c r="A47" s="4">
        <v>39</v>
      </c>
      <c r="B47" s="1" t="s">
        <v>233</v>
      </c>
      <c r="C47" s="1">
        <v>38.5</v>
      </c>
      <c r="D47" s="1" t="s">
        <v>244</v>
      </c>
      <c r="E47" s="1">
        <v>34</v>
      </c>
      <c r="F47" s="1" t="s">
        <v>270</v>
      </c>
      <c r="G47" s="1">
        <v>37</v>
      </c>
      <c r="H47" s="1" t="s">
        <v>211</v>
      </c>
      <c r="I47" s="1">
        <v>39</v>
      </c>
      <c r="J47" s="1" t="s">
        <v>222</v>
      </c>
      <c r="K47" s="1">
        <v>32</v>
      </c>
    </row>
    <row r="48" ht="15" customHeight="1" spans="1:11">
      <c r="A48" s="4">
        <v>40</v>
      </c>
      <c r="B48" s="1" t="s">
        <v>248</v>
      </c>
      <c r="C48" s="1">
        <v>38</v>
      </c>
      <c r="D48" s="1" t="s">
        <v>254</v>
      </c>
      <c r="E48" s="1">
        <v>31</v>
      </c>
      <c r="F48" s="1" t="s">
        <v>250</v>
      </c>
      <c r="G48" s="1">
        <v>36.5</v>
      </c>
      <c r="H48" s="1" t="s">
        <v>236</v>
      </c>
      <c r="I48" s="1">
        <v>38.5</v>
      </c>
      <c r="J48" s="1" t="s">
        <v>257</v>
      </c>
      <c r="K48" s="1">
        <v>29.5</v>
      </c>
    </row>
    <row r="49" ht="15" customHeight="1" spans="1:11">
      <c r="A49" s="5" t="s">
        <v>82</v>
      </c>
      <c r="B49" s="6">
        <v>52.775</v>
      </c>
      <c r="C49" s="1"/>
      <c r="D49" s="6">
        <v>51.7125</v>
      </c>
      <c r="E49" s="1"/>
      <c r="F49" s="7">
        <v>53.425</v>
      </c>
      <c r="G49" s="1"/>
      <c r="H49" s="6">
        <v>51.2875</v>
      </c>
      <c r="I49" s="1"/>
      <c r="J49" s="8">
        <v>48.6875</v>
      </c>
      <c r="K49" s="1"/>
    </row>
    <row r="50" ht="15" customHeight="1" spans="1:11">
      <c r="A50" s="4">
        <v>41</v>
      </c>
      <c r="B50" s="1" t="s">
        <v>263</v>
      </c>
      <c r="C50" s="1">
        <v>34.5</v>
      </c>
      <c r="D50" s="1" t="s">
        <v>264</v>
      </c>
      <c r="E50" s="1">
        <v>24.5</v>
      </c>
      <c r="F50" s="1" t="s">
        <v>260</v>
      </c>
      <c r="G50" s="1">
        <v>34.5</v>
      </c>
      <c r="H50" s="1" t="s">
        <v>241</v>
      </c>
      <c r="I50" s="1">
        <v>29.5</v>
      </c>
      <c r="J50" s="1" t="s">
        <v>267</v>
      </c>
      <c r="K50" s="1">
        <v>27.5</v>
      </c>
    </row>
    <row r="51" ht="15" customHeight="1" spans="1:11">
      <c r="A51" s="4">
        <v>42</v>
      </c>
      <c r="B51" s="1" t="s">
        <v>258</v>
      </c>
      <c r="C51" s="1">
        <v>33</v>
      </c>
      <c r="D51" s="1" t="s">
        <v>279</v>
      </c>
      <c r="E51" s="1">
        <v>21</v>
      </c>
      <c r="F51" s="1" t="s">
        <v>265</v>
      </c>
      <c r="G51" s="1">
        <v>34</v>
      </c>
      <c r="H51" s="1" t="s">
        <v>271</v>
      </c>
      <c r="I51" s="1">
        <v>27</v>
      </c>
      <c r="J51" s="1" t="s">
        <v>277</v>
      </c>
      <c r="K51" s="1">
        <v>25.5</v>
      </c>
    </row>
    <row r="52" ht="15" customHeight="1" spans="1:11">
      <c r="A52" s="4">
        <v>43</v>
      </c>
      <c r="B52" s="1" t="s">
        <v>268</v>
      </c>
      <c r="C52" s="1">
        <v>24.5</v>
      </c>
      <c r="D52" s="1" t="s">
        <v>269</v>
      </c>
      <c r="E52" s="1">
        <v>20.5</v>
      </c>
      <c r="F52" s="1" t="s">
        <v>275</v>
      </c>
      <c r="G52" s="1">
        <v>32.5</v>
      </c>
      <c r="H52" s="1" t="s">
        <v>266</v>
      </c>
      <c r="I52" s="1">
        <v>26.5</v>
      </c>
      <c r="J52" s="1" t="s">
        <v>262</v>
      </c>
      <c r="K52" s="1">
        <v>25</v>
      </c>
    </row>
    <row r="53" ht="15" customHeight="1" spans="1:11">
      <c r="A53" s="4">
        <v>44</v>
      </c>
      <c r="B53" s="1" t="s">
        <v>278</v>
      </c>
      <c r="C53" s="1">
        <v>21</v>
      </c>
      <c r="D53" s="1" t="s">
        <v>259</v>
      </c>
      <c r="E53" s="1">
        <v>19</v>
      </c>
      <c r="F53" s="1" t="s">
        <v>235</v>
      </c>
      <c r="G53" s="1">
        <v>30.5</v>
      </c>
      <c r="H53" s="1" t="s">
        <v>276</v>
      </c>
      <c r="I53" s="1">
        <v>20</v>
      </c>
      <c r="J53" s="1" t="s">
        <v>272</v>
      </c>
      <c r="K53" s="1">
        <v>19.5</v>
      </c>
    </row>
    <row r="54" ht="15" customHeight="1" spans="1:11">
      <c r="A54" s="4">
        <v>45</v>
      </c>
      <c r="B54" s="1" t="s">
        <v>273</v>
      </c>
      <c r="C54" s="1">
        <v>19.5</v>
      </c>
      <c r="D54" s="1" t="s">
        <v>274</v>
      </c>
      <c r="E54" s="1">
        <v>18</v>
      </c>
      <c r="F54" s="1" t="s">
        <v>282</v>
      </c>
      <c r="G54" s="1">
        <v>25</v>
      </c>
      <c r="H54" s="1" t="s">
        <v>281</v>
      </c>
      <c r="I54" s="1">
        <v>18.5</v>
      </c>
      <c r="J54" s="1"/>
      <c r="K54" s="1"/>
    </row>
    <row r="55" ht="15" customHeight="1" spans="1:11">
      <c r="A55" s="5" t="s">
        <v>82</v>
      </c>
      <c r="B55" s="6">
        <v>49.8555555555555</v>
      </c>
      <c r="C55" s="1"/>
      <c r="D55" s="6">
        <v>48.2555555555556</v>
      </c>
      <c r="E55" s="1"/>
      <c r="F55" s="7">
        <v>50.9666666666667</v>
      </c>
      <c r="G55" s="1"/>
      <c r="H55" s="6">
        <v>48.2888888888889</v>
      </c>
      <c r="I55" s="1"/>
      <c r="J55" s="8">
        <v>46.4772727272727</v>
      </c>
      <c r="K55" s="1"/>
    </row>
    <row r="56" ht="15" customHeight="1" spans="1:11">
      <c r="A56" s="4">
        <v>46</v>
      </c>
      <c r="B56" s="1"/>
      <c r="C56" s="1"/>
      <c r="D56" s="1"/>
      <c r="E56" s="1"/>
      <c r="F56" s="1" t="s">
        <v>284</v>
      </c>
      <c r="G56" s="1">
        <v>20.5</v>
      </c>
      <c r="H56" s="1" t="s">
        <v>283</v>
      </c>
      <c r="I56" s="1">
        <v>16</v>
      </c>
      <c r="J56" s="1"/>
      <c r="K56" s="1"/>
    </row>
    <row r="57" ht="15" customHeight="1" spans="1:11">
      <c r="A57" s="4">
        <v>47</v>
      </c>
      <c r="B57" s="1"/>
      <c r="C57" s="1"/>
      <c r="D57" s="1"/>
      <c r="E57" s="1"/>
      <c r="F57" s="1" t="s">
        <v>280</v>
      </c>
      <c r="G57" s="1">
        <v>19</v>
      </c>
      <c r="H57" s="1"/>
      <c r="I57" s="1"/>
      <c r="J57" s="1"/>
      <c r="K57" s="1"/>
    </row>
    <row r="58" ht="15" customHeight="1" spans="1:11">
      <c r="A58" s="4">
        <v>48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" customHeight="1" spans="1:11">
      <c r="A59" s="4">
        <v>49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" customHeight="1" spans="1:11">
      <c r="A60" s="4">
        <v>50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" customHeight="1" spans="1:11">
      <c r="A61" s="5" t="s">
        <v>82</v>
      </c>
      <c r="B61" s="7">
        <v>49.8555555555555</v>
      </c>
      <c r="C61" s="1"/>
      <c r="D61" s="6">
        <v>48.2555555555556</v>
      </c>
      <c r="E61" s="1"/>
      <c r="F61" s="6">
        <v>49.6382978723404</v>
      </c>
      <c r="G61" s="1"/>
      <c r="H61" s="6">
        <v>47.5869565217391</v>
      </c>
      <c r="I61" s="1"/>
      <c r="J61" s="8">
        <v>46.4772727272727</v>
      </c>
      <c r="K61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showGridLines="0" workbookViewId="0">
      <selection activeCell="A1" sqref="A1"/>
    </sheetView>
  </sheetViews>
  <sheetFormatPr defaultColWidth="9" defaultRowHeight="13.5"/>
  <sheetData>
    <row r="1" ht="15" customHeight="1" spans="1:11">
      <c r="A1" s="4" t="s">
        <v>50</v>
      </c>
      <c r="B1" s="4" t="s">
        <v>51</v>
      </c>
      <c r="C1" s="4" t="s">
        <v>23</v>
      </c>
      <c r="D1" s="4" t="s">
        <v>53</v>
      </c>
      <c r="E1" s="4" t="s">
        <v>23</v>
      </c>
      <c r="F1" s="4" t="s">
        <v>54</v>
      </c>
      <c r="G1" s="4" t="s">
        <v>23</v>
      </c>
      <c r="H1" s="4" t="s">
        <v>55</v>
      </c>
      <c r="I1" s="4" t="s">
        <v>23</v>
      </c>
      <c r="J1" s="4" t="s">
        <v>56</v>
      </c>
      <c r="K1" s="4" t="s">
        <v>23</v>
      </c>
    </row>
    <row r="2" ht="15" customHeight="1" spans="1:11">
      <c r="A2" s="4">
        <v>1</v>
      </c>
      <c r="B2" s="1" t="s">
        <v>67</v>
      </c>
      <c r="C2" s="1">
        <v>49</v>
      </c>
      <c r="D2" s="1" t="s">
        <v>124</v>
      </c>
      <c r="E2" s="1">
        <v>49</v>
      </c>
      <c r="F2" s="1" t="s">
        <v>59</v>
      </c>
      <c r="G2" s="1">
        <v>48</v>
      </c>
      <c r="H2" s="1" t="s">
        <v>121</v>
      </c>
      <c r="I2" s="1">
        <v>49</v>
      </c>
      <c r="J2" s="1" t="s">
        <v>61</v>
      </c>
      <c r="K2" s="1">
        <v>49.5</v>
      </c>
    </row>
    <row r="3" ht="15" customHeight="1" spans="1:11">
      <c r="A3" s="4">
        <v>2</v>
      </c>
      <c r="B3" s="1" t="s">
        <v>93</v>
      </c>
      <c r="C3" s="1">
        <v>48</v>
      </c>
      <c r="D3" s="1" t="s">
        <v>63</v>
      </c>
      <c r="E3" s="1">
        <v>48.5</v>
      </c>
      <c r="F3" s="1" t="s">
        <v>69</v>
      </c>
      <c r="G3" s="1">
        <v>48</v>
      </c>
      <c r="H3" s="1" t="s">
        <v>116</v>
      </c>
      <c r="I3" s="1">
        <v>48.5</v>
      </c>
      <c r="J3" s="1" t="s">
        <v>97</v>
      </c>
      <c r="K3" s="1">
        <v>46.5</v>
      </c>
    </row>
    <row r="4" ht="15" customHeight="1" spans="1:11">
      <c r="A4" s="4">
        <v>3</v>
      </c>
      <c r="B4" s="1" t="s">
        <v>62</v>
      </c>
      <c r="C4" s="1">
        <v>47</v>
      </c>
      <c r="D4" s="1" t="s">
        <v>73</v>
      </c>
      <c r="E4" s="1">
        <v>48</v>
      </c>
      <c r="F4" s="1" t="s">
        <v>74</v>
      </c>
      <c r="G4" s="1">
        <v>48</v>
      </c>
      <c r="H4" s="1" t="s">
        <v>65</v>
      </c>
      <c r="I4" s="1">
        <v>48</v>
      </c>
      <c r="J4" s="1" t="s">
        <v>71</v>
      </c>
      <c r="K4" s="1">
        <v>46</v>
      </c>
    </row>
    <row r="5" ht="15" customHeight="1" spans="1:11">
      <c r="A5" s="4">
        <v>4</v>
      </c>
      <c r="B5" s="1" t="s">
        <v>77</v>
      </c>
      <c r="C5" s="1">
        <v>47</v>
      </c>
      <c r="D5" s="1" t="s">
        <v>139</v>
      </c>
      <c r="E5" s="1">
        <v>48</v>
      </c>
      <c r="F5" s="1" t="s">
        <v>90</v>
      </c>
      <c r="G5" s="1">
        <v>48</v>
      </c>
      <c r="H5" s="1" t="s">
        <v>70</v>
      </c>
      <c r="I5" s="1">
        <v>48</v>
      </c>
      <c r="J5" s="1" t="s">
        <v>87</v>
      </c>
      <c r="K5" s="1">
        <v>46</v>
      </c>
    </row>
    <row r="6" ht="15" customHeight="1" spans="1:11">
      <c r="A6" s="4">
        <v>5</v>
      </c>
      <c r="B6" s="1" t="s">
        <v>123</v>
      </c>
      <c r="C6" s="1">
        <v>47</v>
      </c>
      <c r="D6" s="1" t="s">
        <v>114</v>
      </c>
      <c r="E6" s="1">
        <v>47</v>
      </c>
      <c r="F6" s="1" t="s">
        <v>215</v>
      </c>
      <c r="G6" s="1">
        <v>47.5</v>
      </c>
      <c r="H6" s="1" t="s">
        <v>246</v>
      </c>
      <c r="I6" s="1">
        <v>48</v>
      </c>
      <c r="J6" s="1" t="s">
        <v>102</v>
      </c>
      <c r="K6" s="1">
        <v>46</v>
      </c>
    </row>
    <row r="7" ht="15" customHeight="1" spans="1:11">
      <c r="A7" s="5" t="s">
        <v>82</v>
      </c>
      <c r="B7" s="6">
        <v>47.6</v>
      </c>
      <c r="C7" s="1"/>
      <c r="D7" s="6">
        <v>48.1</v>
      </c>
      <c r="E7" s="1"/>
      <c r="F7" s="6">
        <v>47.9</v>
      </c>
      <c r="G7" s="1"/>
      <c r="H7" s="7">
        <v>48.3</v>
      </c>
      <c r="I7" s="1"/>
      <c r="J7" s="8">
        <v>46.8</v>
      </c>
      <c r="K7" s="1"/>
    </row>
    <row r="8" ht="15" customHeight="1" spans="1:11">
      <c r="A8" s="4">
        <v>6</v>
      </c>
      <c r="B8" s="1" t="s">
        <v>108</v>
      </c>
      <c r="C8" s="1">
        <v>46.5</v>
      </c>
      <c r="D8" s="1" t="s">
        <v>78</v>
      </c>
      <c r="E8" s="1">
        <v>46.5</v>
      </c>
      <c r="F8" s="1" t="s">
        <v>115</v>
      </c>
      <c r="G8" s="1">
        <v>47</v>
      </c>
      <c r="H8" s="1" t="s">
        <v>75</v>
      </c>
      <c r="I8" s="1">
        <v>47</v>
      </c>
      <c r="J8" s="1" t="s">
        <v>92</v>
      </c>
      <c r="K8" s="1">
        <v>45</v>
      </c>
    </row>
    <row r="9" ht="15" customHeight="1" spans="1:11">
      <c r="A9" s="4">
        <v>7</v>
      </c>
      <c r="B9" s="1" t="s">
        <v>153</v>
      </c>
      <c r="C9" s="1">
        <v>46</v>
      </c>
      <c r="D9" s="1" t="s">
        <v>199</v>
      </c>
      <c r="E9" s="1">
        <v>46.5</v>
      </c>
      <c r="F9" s="1" t="s">
        <v>125</v>
      </c>
      <c r="G9" s="1">
        <v>47</v>
      </c>
      <c r="H9" s="1" t="s">
        <v>106</v>
      </c>
      <c r="I9" s="1">
        <v>46.5</v>
      </c>
      <c r="J9" s="1" t="s">
        <v>66</v>
      </c>
      <c r="K9" s="1">
        <v>44.5</v>
      </c>
    </row>
    <row r="10" ht="15" customHeight="1" spans="1:11">
      <c r="A10" s="4">
        <v>8</v>
      </c>
      <c r="B10" s="1" t="s">
        <v>57</v>
      </c>
      <c r="C10" s="1">
        <v>45</v>
      </c>
      <c r="D10" s="1" t="s">
        <v>99</v>
      </c>
      <c r="E10" s="1">
        <v>45.5</v>
      </c>
      <c r="F10" s="1" t="s">
        <v>105</v>
      </c>
      <c r="G10" s="1">
        <v>46.5</v>
      </c>
      <c r="H10" s="1" t="s">
        <v>60</v>
      </c>
      <c r="I10" s="1">
        <v>46</v>
      </c>
      <c r="J10" s="1" t="s">
        <v>76</v>
      </c>
      <c r="K10" s="1">
        <v>44.5</v>
      </c>
    </row>
    <row r="11" ht="15" customHeight="1" spans="1:11">
      <c r="A11" s="4">
        <v>9</v>
      </c>
      <c r="B11" s="1" t="s">
        <v>128</v>
      </c>
      <c r="C11" s="1">
        <v>45</v>
      </c>
      <c r="D11" s="1" t="s">
        <v>164</v>
      </c>
      <c r="E11" s="1">
        <v>45</v>
      </c>
      <c r="F11" s="1" t="s">
        <v>145</v>
      </c>
      <c r="G11" s="1">
        <v>46.5</v>
      </c>
      <c r="H11" s="1" t="s">
        <v>86</v>
      </c>
      <c r="I11" s="1">
        <v>46</v>
      </c>
      <c r="J11" s="1" t="s">
        <v>122</v>
      </c>
      <c r="K11" s="1">
        <v>44</v>
      </c>
    </row>
    <row r="12" ht="15" customHeight="1" spans="1:11">
      <c r="A12" s="4">
        <v>10</v>
      </c>
      <c r="B12" s="1" t="s">
        <v>133</v>
      </c>
      <c r="C12" s="1">
        <v>44</v>
      </c>
      <c r="D12" s="1" t="s">
        <v>84</v>
      </c>
      <c r="E12" s="1">
        <v>44.5</v>
      </c>
      <c r="F12" s="1" t="s">
        <v>79</v>
      </c>
      <c r="G12" s="1">
        <v>46</v>
      </c>
      <c r="H12" s="1" t="s">
        <v>96</v>
      </c>
      <c r="I12" s="1">
        <v>46</v>
      </c>
      <c r="J12" s="1" t="s">
        <v>107</v>
      </c>
      <c r="K12" s="1">
        <v>43.5</v>
      </c>
    </row>
    <row r="13" ht="15" customHeight="1" spans="1:11">
      <c r="A13" s="5" t="s">
        <v>82</v>
      </c>
      <c r="B13" s="6">
        <v>46.45</v>
      </c>
      <c r="C13" s="1"/>
      <c r="D13" s="6">
        <v>46.85</v>
      </c>
      <c r="E13" s="1"/>
      <c r="F13" s="6">
        <v>47.25</v>
      </c>
      <c r="G13" s="1"/>
      <c r="H13" s="7">
        <v>47.3</v>
      </c>
      <c r="I13" s="1"/>
      <c r="J13" s="8">
        <v>45.55</v>
      </c>
      <c r="K13" s="1"/>
    </row>
    <row r="14" ht="15" customHeight="1" spans="1:11">
      <c r="A14" s="4">
        <v>11</v>
      </c>
      <c r="B14" s="1" t="s">
        <v>158</v>
      </c>
      <c r="C14" s="1">
        <v>44</v>
      </c>
      <c r="D14" s="1" t="s">
        <v>89</v>
      </c>
      <c r="E14" s="1">
        <v>44.5</v>
      </c>
      <c r="F14" s="1" t="s">
        <v>135</v>
      </c>
      <c r="G14" s="1">
        <v>46</v>
      </c>
      <c r="H14" s="1" t="s">
        <v>101</v>
      </c>
      <c r="I14" s="1">
        <v>45.5</v>
      </c>
      <c r="J14" s="1" t="s">
        <v>127</v>
      </c>
      <c r="K14" s="1">
        <v>43.5</v>
      </c>
    </row>
    <row r="15" ht="15" customHeight="1" spans="1:11">
      <c r="A15" s="4">
        <v>12</v>
      </c>
      <c r="B15" s="1" t="s">
        <v>88</v>
      </c>
      <c r="C15" s="1">
        <v>43.5</v>
      </c>
      <c r="D15" s="1" t="s">
        <v>94</v>
      </c>
      <c r="E15" s="1">
        <v>44.5</v>
      </c>
      <c r="F15" s="1" t="s">
        <v>230</v>
      </c>
      <c r="G15" s="1">
        <v>46</v>
      </c>
      <c r="H15" s="1" t="s">
        <v>80</v>
      </c>
      <c r="I15" s="1">
        <v>45</v>
      </c>
      <c r="J15" s="1" t="s">
        <v>142</v>
      </c>
      <c r="K15" s="1">
        <v>43.5</v>
      </c>
    </row>
    <row r="16" ht="15" customHeight="1" spans="1:11">
      <c r="A16" s="4">
        <v>13</v>
      </c>
      <c r="B16" s="1" t="s">
        <v>148</v>
      </c>
      <c r="C16" s="1">
        <v>43.5</v>
      </c>
      <c r="D16" s="1" t="s">
        <v>104</v>
      </c>
      <c r="E16" s="1">
        <v>44</v>
      </c>
      <c r="F16" s="1" t="s">
        <v>64</v>
      </c>
      <c r="G16" s="1">
        <v>45.5</v>
      </c>
      <c r="H16" s="1" t="s">
        <v>91</v>
      </c>
      <c r="I16" s="1">
        <v>45</v>
      </c>
      <c r="J16" s="1" t="s">
        <v>81</v>
      </c>
      <c r="K16" s="1">
        <v>43</v>
      </c>
    </row>
    <row r="17" ht="15" customHeight="1" spans="1:11">
      <c r="A17" s="4">
        <v>14</v>
      </c>
      <c r="B17" s="1" t="s">
        <v>113</v>
      </c>
      <c r="C17" s="1">
        <v>43</v>
      </c>
      <c r="D17" s="1" t="s">
        <v>109</v>
      </c>
      <c r="E17" s="1">
        <v>44</v>
      </c>
      <c r="F17" s="1" t="s">
        <v>100</v>
      </c>
      <c r="G17" s="1">
        <v>45</v>
      </c>
      <c r="H17" s="1" t="s">
        <v>141</v>
      </c>
      <c r="I17" s="1">
        <v>44.5</v>
      </c>
      <c r="J17" s="1" t="s">
        <v>112</v>
      </c>
      <c r="K17" s="1">
        <v>43</v>
      </c>
    </row>
    <row r="18" ht="15" customHeight="1" spans="1:11">
      <c r="A18" s="4">
        <v>15</v>
      </c>
      <c r="B18" s="1" t="s">
        <v>118</v>
      </c>
      <c r="C18" s="1">
        <v>43</v>
      </c>
      <c r="D18" s="1" t="s">
        <v>129</v>
      </c>
      <c r="E18" s="1">
        <v>43.5</v>
      </c>
      <c r="F18" s="1" t="s">
        <v>150</v>
      </c>
      <c r="G18" s="1">
        <v>45</v>
      </c>
      <c r="H18" s="1" t="s">
        <v>156</v>
      </c>
      <c r="I18" s="1">
        <v>44.5</v>
      </c>
      <c r="J18" s="1" t="s">
        <v>197</v>
      </c>
      <c r="K18" s="1">
        <v>43</v>
      </c>
    </row>
    <row r="19" ht="15" customHeight="1" spans="1:11">
      <c r="A19" s="5" t="s">
        <v>82</v>
      </c>
      <c r="B19" s="6">
        <v>45.4333333333333</v>
      </c>
      <c r="C19" s="1"/>
      <c r="D19" s="6">
        <v>45.9333333333333</v>
      </c>
      <c r="E19" s="1"/>
      <c r="F19" s="7">
        <v>46.6666666666667</v>
      </c>
      <c r="G19" s="1"/>
      <c r="H19" s="6">
        <v>46.5</v>
      </c>
      <c r="I19" s="1"/>
      <c r="J19" s="8">
        <v>44.7666666666667</v>
      </c>
      <c r="K19" s="1"/>
    </row>
    <row r="20" ht="15" customHeight="1" spans="1:11">
      <c r="A20" s="4">
        <v>16</v>
      </c>
      <c r="B20" s="1" t="s">
        <v>83</v>
      </c>
      <c r="C20" s="1">
        <v>42.5</v>
      </c>
      <c r="D20" s="1" t="s">
        <v>149</v>
      </c>
      <c r="E20" s="1">
        <v>43.5</v>
      </c>
      <c r="F20" s="1" t="s">
        <v>200</v>
      </c>
      <c r="G20" s="1">
        <v>45</v>
      </c>
      <c r="H20" s="1" t="s">
        <v>201</v>
      </c>
      <c r="I20" s="1">
        <v>42.5</v>
      </c>
      <c r="J20" s="1" t="s">
        <v>117</v>
      </c>
      <c r="K20" s="1">
        <v>42.5</v>
      </c>
    </row>
    <row r="21" ht="15" customHeight="1" spans="1:11">
      <c r="A21" s="4">
        <v>17</v>
      </c>
      <c r="B21" s="1" t="s">
        <v>198</v>
      </c>
      <c r="C21" s="1">
        <v>42.5</v>
      </c>
      <c r="D21" s="1" t="s">
        <v>119</v>
      </c>
      <c r="E21" s="1">
        <v>43</v>
      </c>
      <c r="F21" s="1" t="s">
        <v>85</v>
      </c>
      <c r="G21" s="1">
        <v>44.5</v>
      </c>
      <c r="H21" s="1" t="s">
        <v>131</v>
      </c>
      <c r="I21" s="1">
        <v>42</v>
      </c>
      <c r="J21" s="1" t="s">
        <v>132</v>
      </c>
      <c r="K21" s="1">
        <v>42.5</v>
      </c>
    </row>
    <row r="22" ht="15" customHeight="1" spans="1:11">
      <c r="A22" s="4">
        <v>18</v>
      </c>
      <c r="B22" s="1" t="s">
        <v>103</v>
      </c>
      <c r="C22" s="1">
        <v>42</v>
      </c>
      <c r="D22" s="1" t="s">
        <v>174</v>
      </c>
      <c r="E22" s="1">
        <v>43</v>
      </c>
      <c r="F22" s="1" t="s">
        <v>95</v>
      </c>
      <c r="G22" s="1">
        <v>44.5</v>
      </c>
      <c r="H22" s="1" t="s">
        <v>111</v>
      </c>
      <c r="I22" s="1">
        <v>41.5</v>
      </c>
      <c r="J22" s="1" t="s">
        <v>137</v>
      </c>
      <c r="K22" s="1">
        <v>42.5</v>
      </c>
    </row>
    <row r="23" ht="15" customHeight="1" spans="1:11">
      <c r="A23" s="4">
        <v>19</v>
      </c>
      <c r="B23" s="1" t="s">
        <v>203</v>
      </c>
      <c r="C23" s="1">
        <v>42</v>
      </c>
      <c r="D23" s="1" t="s">
        <v>58</v>
      </c>
      <c r="E23" s="1">
        <v>42.5</v>
      </c>
      <c r="F23" s="1" t="s">
        <v>130</v>
      </c>
      <c r="G23" s="1">
        <v>44.5</v>
      </c>
      <c r="H23" s="1" t="s">
        <v>151</v>
      </c>
      <c r="I23" s="1">
        <v>41</v>
      </c>
      <c r="J23" s="1" t="s">
        <v>147</v>
      </c>
      <c r="K23" s="1">
        <v>42.5</v>
      </c>
    </row>
    <row r="24" ht="15" customHeight="1" spans="1:11">
      <c r="A24" s="4">
        <v>20</v>
      </c>
      <c r="B24" s="1" t="s">
        <v>72</v>
      </c>
      <c r="C24" s="1">
        <v>41.5</v>
      </c>
      <c r="D24" s="1" t="s">
        <v>68</v>
      </c>
      <c r="E24" s="1">
        <v>41.5</v>
      </c>
      <c r="F24" s="1" t="s">
        <v>140</v>
      </c>
      <c r="G24" s="1">
        <v>43</v>
      </c>
      <c r="H24" s="1" t="s">
        <v>126</v>
      </c>
      <c r="I24" s="1">
        <v>40.5</v>
      </c>
      <c r="J24" s="1" t="s">
        <v>187</v>
      </c>
      <c r="K24" s="1">
        <v>42.5</v>
      </c>
    </row>
    <row r="25" ht="15" customHeight="1" spans="1:11">
      <c r="A25" s="5" t="s">
        <v>82</v>
      </c>
      <c r="B25" s="6">
        <v>44.6</v>
      </c>
      <c r="C25" s="1"/>
      <c r="D25" s="6">
        <v>45.125</v>
      </c>
      <c r="E25" s="1"/>
      <c r="F25" s="7">
        <v>46.075</v>
      </c>
      <c r="G25" s="1"/>
      <c r="H25" s="6">
        <v>45.25</v>
      </c>
      <c r="I25" s="1"/>
      <c r="J25" s="8">
        <v>44.2</v>
      </c>
      <c r="K25" s="1"/>
    </row>
    <row r="26" ht="15" customHeight="1" spans="1:11">
      <c r="A26" s="4">
        <v>21</v>
      </c>
      <c r="B26" s="1" t="s">
        <v>193</v>
      </c>
      <c r="C26" s="1">
        <v>41</v>
      </c>
      <c r="D26" s="1" t="s">
        <v>169</v>
      </c>
      <c r="E26" s="1">
        <v>41.5</v>
      </c>
      <c r="F26" s="1" t="s">
        <v>185</v>
      </c>
      <c r="G26" s="1">
        <v>42.5</v>
      </c>
      <c r="H26" s="1" t="s">
        <v>146</v>
      </c>
      <c r="I26" s="1">
        <v>40.5</v>
      </c>
      <c r="J26" s="1" t="s">
        <v>162</v>
      </c>
      <c r="K26" s="1">
        <v>41.5</v>
      </c>
    </row>
    <row r="27" ht="15" customHeight="1" spans="1:11">
      <c r="A27" s="4">
        <v>22</v>
      </c>
      <c r="B27" s="1" t="s">
        <v>138</v>
      </c>
      <c r="C27" s="1">
        <v>40.5</v>
      </c>
      <c r="D27" s="1" t="s">
        <v>154</v>
      </c>
      <c r="E27" s="1">
        <v>41</v>
      </c>
      <c r="F27" s="1" t="s">
        <v>160</v>
      </c>
      <c r="G27" s="1">
        <v>42</v>
      </c>
      <c r="H27" s="1" t="s">
        <v>161</v>
      </c>
      <c r="I27" s="1">
        <v>40</v>
      </c>
      <c r="J27" s="1" t="s">
        <v>202</v>
      </c>
      <c r="K27" s="1">
        <v>41</v>
      </c>
    </row>
    <row r="28" ht="15" customHeight="1" spans="1:11">
      <c r="A28" s="4">
        <v>23</v>
      </c>
      <c r="B28" s="1" t="s">
        <v>208</v>
      </c>
      <c r="C28" s="1">
        <v>40</v>
      </c>
      <c r="D28" s="1" t="s">
        <v>134</v>
      </c>
      <c r="E28" s="1">
        <v>40.5</v>
      </c>
      <c r="F28" s="1" t="s">
        <v>110</v>
      </c>
      <c r="G28" s="1">
        <v>41.5</v>
      </c>
      <c r="H28" s="1" t="s">
        <v>231</v>
      </c>
      <c r="I28" s="1">
        <v>40</v>
      </c>
      <c r="J28" s="1" t="s">
        <v>167</v>
      </c>
      <c r="K28" s="1">
        <v>39.5</v>
      </c>
    </row>
    <row r="29" ht="15" customHeight="1" spans="1:11">
      <c r="A29" s="4">
        <v>24</v>
      </c>
      <c r="B29" s="1" t="s">
        <v>98</v>
      </c>
      <c r="C29" s="1">
        <v>39</v>
      </c>
      <c r="D29" s="1" t="s">
        <v>144</v>
      </c>
      <c r="E29" s="1">
        <v>38.5</v>
      </c>
      <c r="F29" s="1" t="s">
        <v>195</v>
      </c>
      <c r="G29" s="1">
        <v>41.5</v>
      </c>
      <c r="H29" s="1" t="s">
        <v>256</v>
      </c>
      <c r="I29" s="1">
        <v>40</v>
      </c>
      <c r="J29" s="1" t="s">
        <v>152</v>
      </c>
      <c r="K29" s="1">
        <v>39</v>
      </c>
    </row>
    <row r="30" ht="15" customHeight="1" spans="1:11">
      <c r="A30" s="4">
        <v>25</v>
      </c>
      <c r="B30" s="1" t="s">
        <v>183</v>
      </c>
      <c r="C30" s="1">
        <v>39</v>
      </c>
      <c r="D30" s="1" t="s">
        <v>159</v>
      </c>
      <c r="E30" s="1">
        <v>38.5</v>
      </c>
      <c r="F30" s="1" t="s">
        <v>120</v>
      </c>
      <c r="G30" s="1">
        <v>39.5</v>
      </c>
      <c r="H30" s="1" t="s">
        <v>171</v>
      </c>
      <c r="I30" s="1">
        <v>38.5</v>
      </c>
      <c r="J30" s="1" t="s">
        <v>182</v>
      </c>
      <c r="K30" s="1">
        <v>38.5</v>
      </c>
    </row>
    <row r="31" ht="15" customHeight="1" spans="1:11">
      <c r="A31" s="5" t="s">
        <v>82</v>
      </c>
      <c r="B31" s="6">
        <v>43.66</v>
      </c>
      <c r="C31" s="1"/>
      <c r="D31" s="6">
        <v>44.1</v>
      </c>
      <c r="E31" s="1"/>
      <c r="F31" s="7">
        <v>45.14</v>
      </c>
      <c r="G31" s="1"/>
      <c r="H31" s="6">
        <v>44.16</v>
      </c>
      <c r="I31" s="1"/>
      <c r="J31" s="8">
        <v>43.34</v>
      </c>
      <c r="K31" s="1"/>
    </row>
    <row r="32" ht="15" customHeight="1" spans="1:11">
      <c r="A32" s="4">
        <v>26</v>
      </c>
      <c r="B32" s="1" t="s">
        <v>218</v>
      </c>
      <c r="C32" s="1">
        <v>39</v>
      </c>
      <c r="D32" s="1" t="s">
        <v>179</v>
      </c>
      <c r="E32" s="1">
        <v>38.5</v>
      </c>
      <c r="F32" s="1" t="s">
        <v>170</v>
      </c>
      <c r="G32" s="1">
        <v>39.5</v>
      </c>
      <c r="H32" s="1" t="s">
        <v>186</v>
      </c>
      <c r="I32" s="1">
        <v>38</v>
      </c>
      <c r="J32" s="1" t="s">
        <v>172</v>
      </c>
      <c r="K32" s="1">
        <v>38</v>
      </c>
    </row>
    <row r="33" ht="15" customHeight="1" spans="1:11">
      <c r="A33" s="4">
        <v>27</v>
      </c>
      <c r="B33" s="1" t="s">
        <v>173</v>
      </c>
      <c r="C33" s="1">
        <v>38.5</v>
      </c>
      <c r="D33" s="1" t="s">
        <v>189</v>
      </c>
      <c r="E33" s="1">
        <v>36.5</v>
      </c>
      <c r="F33" s="1" t="s">
        <v>165</v>
      </c>
      <c r="G33" s="1">
        <v>39</v>
      </c>
      <c r="H33" s="1" t="s">
        <v>216</v>
      </c>
      <c r="I33" s="1">
        <v>37.5</v>
      </c>
      <c r="J33" s="1" t="s">
        <v>157</v>
      </c>
      <c r="K33" s="1">
        <v>37.5</v>
      </c>
    </row>
    <row r="34" ht="15" customHeight="1" spans="1:11">
      <c r="A34" s="4">
        <v>28</v>
      </c>
      <c r="B34" s="1" t="s">
        <v>143</v>
      </c>
      <c r="C34" s="1">
        <v>36.5</v>
      </c>
      <c r="D34" s="1" t="s">
        <v>204</v>
      </c>
      <c r="E34" s="1">
        <v>36</v>
      </c>
      <c r="F34" s="1" t="s">
        <v>175</v>
      </c>
      <c r="G34" s="1">
        <v>39</v>
      </c>
      <c r="H34" s="1" t="s">
        <v>136</v>
      </c>
      <c r="I34" s="1">
        <v>37</v>
      </c>
      <c r="J34" s="1" t="s">
        <v>177</v>
      </c>
      <c r="K34" s="1">
        <v>36.5</v>
      </c>
    </row>
    <row r="35" ht="15" customHeight="1" spans="1:11">
      <c r="A35" s="4">
        <v>29</v>
      </c>
      <c r="B35" s="1" t="s">
        <v>163</v>
      </c>
      <c r="C35" s="1">
        <v>36.5</v>
      </c>
      <c r="D35" s="1" t="s">
        <v>239</v>
      </c>
      <c r="E35" s="1">
        <v>36</v>
      </c>
      <c r="F35" s="1" t="s">
        <v>205</v>
      </c>
      <c r="G35" s="1">
        <v>38.5</v>
      </c>
      <c r="H35" s="1" t="s">
        <v>191</v>
      </c>
      <c r="I35" s="1">
        <v>37</v>
      </c>
      <c r="J35" s="1" t="s">
        <v>232</v>
      </c>
      <c r="K35" s="1">
        <v>35.5</v>
      </c>
    </row>
    <row r="36" ht="15" customHeight="1" spans="1:11">
      <c r="A36" s="4">
        <v>30</v>
      </c>
      <c r="B36" s="1" t="s">
        <v>178</v>
      </c>
      <c r="C36" s="1">
        <v>36</v>
      </c>
      <c r="D36" s="1" t="s">
        <v>214</v>
      </c>
      <c r="E36" s="1">
        <v>35.5</v>
      </c>
      <c r="F36" s="1" t="s">
        <v>235</v>
      </c>
      <c r="G36" s="1">
        <v>38</v>
      </c>
      <c r="H36" s="1" t="s">
        <v>196</v>
      </c>
      <c r="I36" s="1">
        <v>35.5</v>
      </c>
      <c r="J36" s="1" t="s">
        <v>212</v>
      </c>
      <c r="K36" s="1">
        <v>32.5</v>
      </c>
    </row>
    <row r="37" ht="15" customHeight="1" spans="1:11">
      <c r="A37" s="5" t="s">
        <v>82</v>
      </c>
      <c r="B37" s="6">
        <v>42.6</v>
      </c>
      <c r="C37" s="1"/>
      <c r="D37" s="6">
        <v>42.8333333333333</v>
      </c>
      <c r="E37" s="1"/>
      <c r="F37" s="7">
        <v>44.0833333333333</v>
      </c>
      <c r="G37" s="1"/>
      <c r="H37" s="6">
        <v>42.9666666666667</v>
      </c>
      <c r="I37" s="1"/>
      <c r="J37" s="8">
        <v>42.1166666666667</v>
      </c>
      <c r="K37" s="1"/>
    </row>
    <row r="38" ht="15" customHeight="1" spans="1:11">
      <c r="A38" s="4">
        <v>31</v>
      </c>
      <c r="B38" s="1" t="s">
        <v>168</v>
      </c>
      <c r="C38" s="1">
        <v>35</v>
      </c>
      <c r="D38" s="1" t="s">
        <v>234</v>
      </c>
      <c r="E38" s="1">
        <v>35</v>
      </c>
      <c r="F38" s="1" t="s">
        <v>155</v>
      </c>
      <c r="G38" s="1">
        <v>37.5</v>
      </c>
      <c r="H38" s="1" t="s">
        <v>206</v>
      </c>
      <c r="I38" s="1">
        <v>35.5</v>
      </c>
      <c r="J38" s="1" t="s">
        <v>217</v>
      </c>
      <c r="K38" s="1">
        <v>32.5</v>
      </c>
    </row>
    <row r="39" ht="15" customHeight="1" spans="1:11">
      <c r="A39" s="4">
        <v>32</v>
      </c>
      <c r="B39" s="1" t="s">
        <v>223</v>
      </c>
      <c r="C39" s="1">
        <v>34</v>
      </c>
      <c r="D39" s="1" t="s">
        <v>219</v>
      </c>
      <c r="E39" s="1">
        <v>34.5</v>
      </c>
      <c r="F39" s="1" t="s">
        <v>190</v>
      </c>
      <c r="G39" s="1">
        <v>37.5</v>
      </c>
      <c r="H39" s="1" t="s">
        <v>181</v>
      </c>
      <c r="I39" s="1">
        <v>34.5</v>
      </c>
      <c r="J39" s="1" t="s">
        <v>237</v>
      </c>
      <c r="K39" s="1">
        <v>32.5</v>
      </c>
    </row>
    <row r="40" ht="15" customHeight="1" spans="1:11">
      <c r="A40" s="4">
        <v>33</v>
      </c>
      <c r="B40" s="1" t="s">
        <v>188</v>
      </c>
      <c r="C40" s="1">
        <v>33</v>
      </c>
      <c r="D40" s="1" t="s">
        <v>224</v>
      </c>
      <c r="E40" s="1">
        <v>34.5</v>
      </c>
      <c r="F40" s="1" t="s">
        <v>225</v>
      </c>
      <c r="G40" s="1">
        <v>37</v>
      </c>
      <c r="H40" s="1" t="s">
        <v>176</v>
      </c>
      <c r="I40" s="1">
        <v>33.5</v>
      </c>
      <c r="J40" s="1" t="s">
        <v>242</v>
      </c>
      <c r="K40" s="1">
        <v>31</v>
      </c>
    </row>
    <row r="41" ht="15" customHeight="1" spans="1:11">
      <c r="A41" s="4">
        <v>34</v>
      </c>
      <c r="B41" s="1" t="s">
        <v>228</v>
      </c>
      <c r="C41" s="1">
        <v>31</v>
      </c>
      <c r="D41" s="1" t="s">
        <v>229</v>
      </c>
      <c r="E41" s="1">
        <v>34.5</v>
      </c>
      <c r="F41" s="1" t="s">
        <v>180</v>
      </c>
      <c r="G41" s="1">
        <v>36</v>
      </c>
      <c r="H41" s="1" t="s">
        <v>266</v>
      </c>
      <c r="I41" s="1">
        <v>33</v>
      </c>
      <c r="J41" s="1" t="s">
        <v>207</v>
      </c>
      <c r="K41" s="1">
        <v>30</v>
      </c>
    </row>
    <row r="42" ht="15" customHeight="1" spans="1:11">
      <c r="A42" s="4">
        <v>35</v>
      </c>
      <c r="B42" s="1" t="s">
        <v>213</v>
      </c>
      <c r="C42" s="1">
        <v>28.5</v>
      </c>
      <c r="D42" s="1" t="s">
        <v>184</v>
      </c>
      <c r="E42" s="1">
        <v>33</v>
      </c>
      <c r="F42" s="1" t="s">
        <v>210</v>
      </c>
      <c r="G42" s="1">
        <v>36</v>
      </c>
      <c r="H42" s="1" t="s">
        <v>166</v>
      </c>
      <c r="I42" s="1">
        <v>30</v>
      </c>
      <c r="J42" s="1" t="s">
        <v>222</v>
      </c>
      <c r="K42" s="1">
        <v>28</v>
      </c>
    </row>
    <row r="43" ht="15" customHeight="1" spans="1:11">
      <c r="A43" s="5" t="s">
        <v>82</v>
      </c>
      <c r="B43" s="6">
        <v>41.1285714285714</v>
      </c>
      <c r="C43" s="1"/>
      <c r="D43" s="6">
        <v>41.6142857142857</v>
      </c>
      <c r="E43" s="1"/>
      <c r="F43" s="7">
        <v>43.0428571428571</v>
      </c>
      <c r="G43" s="1"/>
      <c r="H43" s="6">
        <v>41.5857142857143</v>
      </c>
      <c r="I43" s="1"/>
      <c r="J43" s="8">
        <v>40.5</v>
      </c>
      <c r="K43" s="1"/>
    </row>
    <row r="44" ht="15" customHeight="1" spans="1:11">
      <c r="A44" s="4">
        <v>36</v>
      </c>
      <c r="B44" s="1" t="s">
        <v>248</v>
      </c>
      <c r="C44" s="1">
        <v>27</v>
      </c>
      <c r="D44" s="1" t="s">
        <v>194</v>
      </c>
      <c r="E44" s="1">
        <v>26.5</v>
      </c>
      <c r="F44" s="1" t="s">
        <v>220</v>
      </c>
      <c r="G44" s="1">
        <v>32.5</v>
      </c>
      <c r="H44" s="1" t="s">
        <v>221</v>
      </c>
      <c r="I44" s="1">
        <v>29.5</v>
      </c>
      <c r="J44" s="1" t="s">
        <v>192</v>
      </c>
      <c r="K44" s="1">
        <v>26.5</v>
      </c>
    </row>
    <row r="45" ht="15" customHeight="1" spans="1:11">
      <c r="A45" s="4">
        <v>37</v>
      </c>
      <c r="B45" s="1" t="s">
        <v>263</v>
      </c>
      <c r="C45" s="1">
        <v>26.5</v>
      </c>
      <c r="D45" s="1" t="s">
        <v>249</v>
      </c>
      <c r="E45" s="1">
        <v>26</v>
      </c>
      <c r="F45" s="1" t="s">
        <v>240</v>
      </c>
      <c r="G45" s="1">
        <v>32.5</v>
      </c>
      <c r="H45" s="1" t="s">
        <v>236</v>
      </c>
      <c r="I45" s="1">
        <v>29</v>
      </c>
      <c r="J45" s="1" t="s">
        <v>247</v>
      </c>
      <c r="K45" s="1">
        <v>26.5</v>
      </c>
    </row>
    <row r="46" ht="15" customHeight="1" spans="1:11">
      <c r="A46" s="4">
        <v>38</v>
      </c>
      <c r="B46" s="1" t="s">
        <v>233</v>
      </c>
      <c r="C46" s="1">
        <v>26</v>
      </c>
      <c r="D46" s="1" t="s">
        <v>209</v>
      </c>
      <c r="E46" s="1">
        <v>24</v>
      </c>
      <c r="F46" s="1" t="s">
        <v>255</v>
      </c>
      <c r="G46" s="1">
        <v>32</v>
      </c>
      <c r="H46" s="1" t="s">
        <v>226</v>
      </c>
      <c r="I46" s="1">
        <v>27.5</v>
      </c>
      <c r="J46" s="1" t="s">
        <v>252</v>
      </c>
      <c r="K46" s="1">
        <v>26.5</v>
      </c>
    </row>
    <row r="47" ht="15" customHeight="1" spans="1:11">
      <c r="A47" s="4">
        <v>39</v>
      </c>
      <c r="B47" s="1" t="s">
        <v>253</v>
      </c>
      <c r="C47" s="1">
        <v>25</v>
      </c>
      <c r="D47" s="1" t="s">
        <v>244</v>
      </c>
      <c r="E47" s="1">
        <v>22.5</v>
      </c>
      <c r="F47" s="1" t="s">
        <v>270</v>
      </c>
      <c r="G47" s="1">
        <v>32</v>
      </c>
      <c r="H47" s="1" t="s">
        <v>261</v>
      </c>
      <c r="I47" s="1">
        <v>27</v>
      </c>
      <c r="J47" s="1" t="s">
        <v>267</v>
      </c>
      <c r="K47" s="1">
        <v>22</v>
      </c>
    </row>
    <row r="48" ht="15" customHeight="1" spans="1:11">
      <c r="A48" s="4">
        <v>40</v>
      </c>
      <c r="B48" s="1" t="s">
        <v>238</v>
      </c>
      <c r="C48" s="1">
        <v>24</v>
      </c>
      <c r="D48" s="1" t="s">
        <v>254</v>
      </c>
      <c r="E48" s="1">
        <v>20.5</v>
      </c>
      <c r="F48" s="1" t="s">
        <v>250</v>
      </c>
      <c r="G48" s="1">
        <v>27</v>
      </c>
      <c r="H48" s="1" t="s">
        <v>211</v>
      </c>
      <c r="I48" s="1">
        <v>26.5</v>
      </c>
      <c r="J48" s="1" t="s">
        <v>227</v>
      </c>
      <c r="K48" s="1">
        <v>21</v>
      </c>
    </row>
    <row r="49" ht="15" customHeight="1" spans="1:11">
      <c r="A49" s="5" t="s">
        <v>82</v>
      </c>
      <c r="B49" s="6">
        <v>39.2</v>
      </c>
      <c r="C49" s="1"/>
      <c r="D49" s="6">
        <v>39.4</v>
      </c>
      <c r="E49" s="1"/>
      <c r="F49" s="7">
        <v>41.5625</v>
      </c>
      <c r="G49" s="1"/>
      <c r="H49" s="6">
        <v>39.875</v>
      </c>
      <c r="I49" s="1"/>
      <c r="J49" s="8">
        <v>38.5</v>
      </c>
      <c r="K49" s="1"/>
    </row>
    <row r="50" ht="15" customHeight="1" spans="1:11">
      <c r="A50" s="4">
        <v>41</v>
      </c>
      <c r="B50" s="1" t="s">
        <v>243</v>
      </c>
      <c r="C50" s="1">
        <v>23.5</v>
      </c>
      <c r="D50" s="1" t="s">
        <v>264</v>
      </c>
      <c r="E50" s="1">
        <v>20.5</v>
      </c>
      <c r="F50" s="1" t="s">
        <v>245</v>
      </c>
      <c r="G50" s="1">
        <v>26</v>
      </c>
      <c r="H50" s="1" t="s">
        <v>251</v>
      </c>
      <c r="I50" s="1">
        <v>26.5</v>
      </c>
      <c r="J50" s="1" t="s">
        <v>257</v>
      </c>
      <c r="K50" s="1">
        <v>17.5</v>
      </c>
    </row>
    <row r="51" ht="15" customHeight="1" spans="1:11">
      <c r="A51" s="4">
        <v>42</v>
      </c>
      <c r="B51" s="1" t="s">
        <v>273</v>
      </c>
      <c r="C51" s="1">
        <v>21.5</v>
      </c>
      <c r="D51" s="1" t="s">
        <v>259</v>
      </c>
      <c r="E51" s="1">
        <v>18.5</v>
      </c>
      <c r="F51" s="1" t="s">
        <v>260</v>
      </c>
      <c r="G51" s="1">
        <v>25</v>
      </c>
      <c r="H51" s="1" t="s">
        <v>241</v>
      </c>
      <c r="I51" s="1">
        <v>25</v>
      </c>
      <c r="J51" s="1" t="s">
        <v>262</v>
      </c>
      <c r="K51" s="1">
        <v>17</v>
      </c>
    </row>
    <row r="52" ht="15" customHeight="1" spans="1:11">
      <c r="A52" s="4">
        <v>43</v>
      </c>
      <c r="B52" s="1" t="s">
        <v>258</v>
      </c>
      <c r="C52" s="1">
        <v>21</v>
      </c>
      <c r="D52" s="1" t="s">
        <v>269</v>
      </c>
      <c r="E52" s="1">
        <v>17</v>
      </c>
      <c r="F52" s="1" t="s">
        <v>265</v>
      </c>
      <c r="G52" s="1">
        <v>23.5</v>
      </c>
      <c r="H52" s="1" t="s">
        <v>281</v>
      </c>
      <c r="I52" s="1">
        <v>22.5</v>
      </c>
      <c r="J52" s="1" t="s">
        <v>277</v>
      </c>
      <c r="K52" s="1">
        <v>16</v>
      </c>
    </row>
    <row r="53" ht="15" customHeight="1" spans="1:11">
      <c r="A53" s="4">
        <v>44</v>
      </c>
      <c r="B53" s="1" t="s">
        <v>268</v>
      </c>
      <c r="C53" s="1">
        <v>16.5</v>
      </c>
      <c r="D53" s="1" t="s">
        <v>274</v>
      </c>
      <c r="E53" s="1">
        <v>10</v>
      </c>
      <c r="F53" s="1" t="s">
        <v>282</v>
      </c>
      <c r="G53" s="1">
        <v>17</v>
      </c>
      <c r="H53" s="1" t="s">
        <v>271</v>
      </c>
      <c r="I53" s="1">
        <v>21.5</v>
      </c>
      <c r="J53" s="1" t="s">
        <v>272</v>
      </c>
      <c r="K53" s="1">
        <v>14.5</v>
      </c>
    </row>
    <row r="54" ht="15" customHeight="1" spans="1:11">
      <c r="A54" s="4">
        <v>45</v>
      </c>
      <c r="B54" s="1" t="s">
        <v>278</v>
      </c>
      <c r="C54" s="1">
        <v>5.5</v>
      </c>
      <c r="D54" s="1" t="s">
        <v>279</v>
      </c>
      <c r="E54" s="1">
        <v>7</v>
      </c>
      <c r="F54" s="1" t="s">
        <v>280</v>
      </c>
      <c r="G54" s="1">
        <v>16</v>
      </c>
      <c r="H54" s="1" t="s">
        <v>276</v>
      </c>
      <c r="I54" s="1">
        <v>21</v>
      </c>
      <c r="J54" s="1"/>
      <c r="K54" s="1"/>
    </row>
    <row r="55" ht="15" customHeight="1" spans="1:11">
      <c r="A55" s="5" t="s">
        <v>82</v>
      </c>
      <c r="B55" s="6">
        <v>36.8</v>
      </c>
      <c r="C55" s="1"/>
      <c r="D55" s="6">
        <v>36.6444444444445</v>
      </c>
      <c r="E55" s="1"/>
      <c r="F55" s="7">
        <v>39.3333333333333</v>
      </c>
      <c r="G55" s="1"/>
      <c r="H55" s="6">
        <v>38.0333333333333</v>
      </c>
      <c r="I55" s="1"/>
      <c r="J55" s="8">
        <v>36.4772727272727</v>
      </c>
      <c r="K55" s="1"/>
    </row>
    <row r="56" ht="15" customHeight="1" spans="1:11">
      <c r="A56" s="4">
        <v>46</v>
      </c>
      <c r="B56" s="1"/>
      <c r="C56" s="1"/>
      <c r="D56" s="1"/>
      <c r="E56" s="1"/>
      <c r="F56" s="1" t="s">
        <v>275</v>
      </c>
      <c r="G56" s="1">
        <v>12.5</v>
      </c>
      <c r="H56" s="1" t="s">
        <v>283</v>
      </c>
      <c r="I56" s="1">
        <v>3</v>
      </c>
      <c r="J56" s="1"/>
      <c r="K56" s="1"/>
    </row>
    <row r="57" ht="15" customHeight="1" spans="1:11">
      <c r="A57" s="4">
        <v>47</v>
      </c>
      <c r="B57" s="1"/>
      <c r="C57" s="1"/>
      <c r="D57" s="1"/>
      <c r="E57" s="1"/>
      <c r="F57" s="1" t="s">
        <v>284</v>
      </c>
      <c r="G57" s="1">
        <v>12</v>
      </c>
      <c r="H57" s="1"/>
      <c r="I57" s="1"/>
      <c r="J57" s="1"/>
      <c r="K57" s="1"/>
    </row>
    <row r="58" ht="15" customHeight="1" spans="1:11">
      <c r="A58" s="4">
        <v>48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" customHeight="1" spans="1:11">
      <c r="A59" s="4">
        <v>49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" customHeight="1" spans="1:11">
      <c r="A60" s="4">
        <v>50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" customHeight="1" spans="1:11">
      <c r="A61" s="5" t="s">
        <v>82</v>
      </c>
      <c r="B61" s="6">
        <v>36.8</v>
      </c>
      <c r="C61" s="1"/>
      <c r="D61" s="6">
        <v>36.6444444444445</v>
      </c>
      <c r="E61" s="1"/>
      <c r="F61" s="7">
        <v>38.1808510638298</v>
      </c>
      <c r="G61" s="1"/>
      <c r="H61" s="6">
        <v>37.2717391304348</v>
      </c>
      <c r="I61" s="1"/>
      <c r="J61" s="8">
        <v>36.4772727272727</v>
      </c>
      <c r="K61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28"/>
  <sheetViews>
    <sheetView showGridLines="0" zoomScale="70" zoomScaleNormal="70" topLeftCell="A181" workbookViewId="0">
      <selection activeCell="P203" sqref="P203"/>
    </sheetView>
  </sheetViews>
  <sheetFormatPr defaultColWidth="9" defaultRowHeight="13.5"/>
  <cols>
    <col min="1" max="2" width="18" customWidth="1"/>
    <col min="3" max="4" width="7.2" customWidth="1"/>
    <col min="5" max="5" width="20.4" customWidth="1"/>
    <col min="6" max="6" width="4.8" customWidth="1"/>
    <col min="7" max="8" width="8.4" customWidth="1"/>
    <col min="9" max="11" width="7.2" customWidth="1"/>
    <col min="12" max="13" width="9.6" customWidth="1"/>
    <col min="14" max="15" width="7.2" customWidth="1"/>
    <col min="16" max="17" width="10.8" customWidth="1"/>
    <col min="18" max="19" width="8.4" customWidth="1"/>
    <col min="20" max="21" width="9.6" customWidth="1"/>
    <col min="22" max="27" width="7.2" customWidth="1"/>
    <col min="28" max="28" width="8.4" customWidth="1"/>
    <col min="29" max="29" width="7.2" customWidth="1"/>
  </cols>
  <sheetData>
    <row r="1" ht="15" customHeight="1" spans="1:30">
      <c r="A1" s="3" t="s">
        <v>286</v>
      </c>
      <c r="B1" s="3" t="s">
        <v>287</v>
      </c>
      <c r="C1" s="3" t="s">
        <v>288</v>
      </c>
      <c r="D1" s="3" t="s">
        <v>289</v>
      </c>
      <c r="E1" s="3" t="s">
        <v>290</v>
      </c>
      <c r="F1" s="3" t="s">
        <v>291</v>
      </c>
      <c r="G1" s="3" t="s">
        <v>292</v>
      </c>
      <c r="H1" s="3" t="s">
        <v>293</v>
      </c>
      <c r="I1" s="3" t="s">
        <v>294</v>
      </c>
      <c r="J1" s="3" t="s">
        <v>295</v>
      </c>
      <c r="K1" s="3" t="s">
        <v>296</v>
      </c>
      <c r="L1" s="3" t="s">
        <v>297</v>
      </c>
      <c r="M1" s="3" t="s">
        <v>298</v>
      </c>
      <c r="N1" s="3" t="s">
        <v>299</v>
      </c>
      <c r="O1" s="3" t="s">
        <v>300</v>
      </c>
      <c r="P1" s="3" t="s">
        <v>301</v>
      </c>
      <c r="Q1" s="3" t="s">
        <v>302</v>
      </c>
      <c r="R1" s="3" t="s">
        <v>303</v>
      </c>
      <c r="S1" s="3" t="s">
        <v>303</v>
      </c>
      <c r="T1" s="3" t="s">
        <v>304</v>
      </c>
      <c r="U1" s="3" t="s">
        <v>305</v>
      </c>
      <c r="V1" s="3" t="s">
        <v>306</v>
      </c>
      <c r="W1" s="3" t="s">
        <v>307</v>
      </c>
      <c r="X1" s="3" t="s">
        <v>308</v>
      </c>
      <c r="Y1" s="3" t="s">
        <v>309</v>
      </c>
      <c r="Z1" s="3" t="s">
        <v>310</v>
      </c>
      <c r="AA1" s="3" t="s">
        <v>311</v>
      </c>
      <c r="AB1" s="3" t="s">
        <v>312</v>
      </c>
      <c r="AC1" s="3" t="s">
        <v>313</v>
      </c>
      <c r="AD1" s="3" t="s">
        <v>314</v>
      </c>
    </row>
    <row r="2" ht="15" customHeight="1" spans="1:30">
      <c r="A2" s="3" t="s">
        <v>315</v>
      </c>
      <c r="B2" s="3" t="s">
        <v>315</v>
      </c>
      <c r="C2" s="3" t="s">
        <v>61</v>
      </c>
      <c r="D2" s="3" t="s">
        <v>56</v>
      </c>
      <c r="E2" s="3" t="s">
        <v>316</v>
      </c>
      <c r="F2" s="3" t="s">
        <v>317</v>
      </c>
      <c r="G2" s="3" t="s">
        <v>318</v>
      </c>
      <c r="H2" s="3">
        <v>106.5</v>
      </c>
      <c r="I2" s="3" t="s">
        <v>2</v>
      </c>
      <c r="J2" s="3">
        <v>97</v>
      </c>
      <c r="K2" s="3" t="s">
        <v>2</v>
      </c>
      <c r="L2" s="3">
        <v>71.5</v>
      </c>
      <c r="M2" s="3" t="s">
        <v>2</v>
      </c>
      <c r="N2" s="3">
        <v>65</v>
      </c>
      <c r="O2" s="3" t="s">
        <v>2</v>
      </c>
      <c r="P2" s="3">
        <v>46</v>
      </c>
      <c r="Q2" s="3" t="s">
        <v>2</v>
      </c>
      <c r="R2" s="3">
        <v>114.5</v>
      </c>
      <c r="S2" s="3" t="s">
        <v>2</v>
      </c>
      <c r="T2" s="3">
        <v>23.6</v>
      </c>
      <c r="U2" s="3" t="s">
        <v>3</v>
      </c>
      <c r="V2" s="3">
        <v>49.5</v>
      </c>
      <c r="W2" s="3" t="s">
        <v>2</v>
      </c>
      <c r="X2" s="3">
        <v>65</v>
      </c>
      <c r="Y2" s="3" t="s">
        <v>2</v>
      </c>
      <c r="Z2" s="3">
        <v>95.1</v>
      </c>
      <c r="AA2" s="3" t="s">
        <v>2</v>
      </c>
      <c r="AB2" s="3">
        <v>524.1</v>
      </c>
      <c r="AC2" s="3" t="s">
        <v>2</v>
      </c>
      <c r="AD2" s="3">
        <f>RANK(AB2,$AB$2:$AB$228,0)</f>
        <v>1</v>
      </c>
    </row>
    <row r="3" ht="15" customHeight="1" spans="1:30">
      <c r="A3" s="3" t="s">
        <v>319</v>
      </c>
      <c r="B3" s="3" t="s">
        <v>319</v>
      </c>
      <c r="C3" s="3" t="s">
        <v>60</v>
      </c>
      <c r="D3" s="3" t="s">
        <v>55</v>
      </c>
      <c r="E3" s="3" t="s">
        <v>316</v>
      </c>
      <c r="F3" s="3" t="s">
        <v>317</v>
      </c>
      <c r="G3" s="3" t="s">
        <v>318</v>
      </c>
      <c r="H3" s="3">
        <v>106</v>
      </c>
      <c r="I3" s="3" t="s">
        <v>2</v>
      </c>
      <c r="J3" s="3">
        <v>96</v>
      </c>
      <c r="K3" s="3" t="s">
        <v>2</v>
      </c>
      <c r="L3" s="3">
        <v>73.5</v>
      </c>
      <c r="M3" s="3" t="s">
        <v>2</v>
      </c>
      <c r="N3" s="3">
        <v>66.5</v>
      </c>
      <c r="O3" s="3" t="s">
        <v>2</v>
      </c>
      <c r="P3" s="3">
        <v>40</v>
      </c>
      <c r="Q3" s="3" t="s">
        <v>5</v>
      </c>
      <c r="R3" s="3">
        <v>109</v>
      </c>
      <c r="S3" s="3" t="s">
        <v>3</v>
      </c>
      <c r="T3" s="3">
        <v>23.5</v>
      </c>
      <c r="U3" s="3" t="s">
        <v>3</v>
      </c>
      <c r="V3" s="3">
        <v>46</v>
      </c>
      <c r="W3" s="3" t="s">
        <v>3</v>
      </c>
      <c r="X3" s="3">
        <v>63</v>
      </c>
      <c r="Y3" s="3" t="s">
        <v>3</v>
      </c>
      <c r="Z3" s="3">
        <v>97</v>
      </c>
      <c r="AA3" s="3" t="s">
        <v>2</v>
      </c>
      <c r="AB3" s="3">
        <v>514.5</v>
      </c>
      <c r="AC3" s="3" t="s">
        <v>2</v>
      </c>
      <c r="AD3" s="3">
        <f t="shared" ref="AD3:AD66" si="0">RANK(AB3,$AB$2:$AB$228,0)</f>
        <v>2</v>
      </c>
    </row>
    <row r="4" ht="15" customHeight="1" spans="1:30">
      <c r="A4" s="3" t="s">
        <v>320</v>
      </c>
      <c r="B4" s="3" t="s">
        <v>320</v>
      </c>
      <c r="C4" s="3" t="s">
        <v>59</v>
      </c>
      <c r="D4" s="3" t="s">
        <v>54</v>
      </c>
      <c r="E4" s="3" t="s">
        <v>316</v>
      </c>
      <c r="F4" s="3" t="s">
        <v>317</v>
      </c>
      <c r="G4" s="3" t="s">
        <v>318</v>
      </c>
      <c r="H4" s="3">
        <v>101.5</v>
      </c>
      <c r="I4" s="3" t="s">
        <v>2</v>
      </c>
      <c r="J4" s="3">
        <v>89</v>
      </c>
      <c r="K4" s="3" t="s">
        <v>3</v>
      </c>
      <c r="L4" s="3">
        <v>74</v>
      </c>
      <c r="M4" s="3" t="s">
        <v>2</v>
      </c>
      <c r="N4" s="3">
        <v>66.5</v>
      </c>
      <c r="O4" s="3" t="s">
        <v>2</v>
      </c>
      <c r="P4" s="3">
        <v>46.5</v>
      </c>
      <c r="Q4" s="3" t="s">
        <v>2</v>
      </c>
      <c r="R4" s="3">
        <v>112</v>
      </c>
      <c r="S4" s="3" t="s">
        <v>2</v>
      </c>
      <c r="T4" s="3">
        <v>23.7</v>
      </c>
      <c r="U4" s="3" t="s">
        <v>3</v>
      </c>
      <c r="V4" s="3">
        <v>48</v>
      </c>
      <c r="W4" s="3" t="s">
        <v>2</v>
      </c>
      <c r="X4" s="3">
        <v>64</v>
      </c>
      <c r="Y4" s="3" t="s">
        <v>2</v>
      </c>
      <c r="Z4" s="3">
        <v>97.7</v>
      </c>
      <c r="AA4" s="3" t="s">
        <v>2</v>
      </c>
      <c r="AB4" s="3">
        <v>513.2</v>
      </c>
      <c r="AC4" s="3" t="s">
        <v>2</v>
      </c>
      <c r="AD4" s="3">
        <f t="shared" si="0"/>
        <v>3</v>
      </c>
    </row>
    <row r="5" ht="15" customHeight="1" spans="1:30">
      <c r="A5" s="3" t="s">
        <v>321</v>
      </c>
      <c r="B5" s="3" t="s">
        <v>321</v>
      </c>
      <c r="C5" s="3" t="s">
        <v>65</v>
      </c>
      <c r="D5" s="3" t="s">
        <v>55</v>
      </c>
      <c r="E5" s="3" t="s">
        <v>316</v>
      </c>
      <c r="F5" s="3" t="s">
        <v>317</v>
      </c>
      <c r="G5" s="3" t="s">
        <v>318</v>
      </c>
      <c r="H5" s="3">
        <v>103</v>
      </c>
      <c r="I5" s="3" t="s">
        <v>2</v>
      </c>
      <c r="J5" s="3">
        <v>91</v>
      </c>
      <c r="K5" s="3" t="s">
        <v>2</v>
      </c>
      <c r="L5" s="3">
        <v>74.5</v>
      </c>
      <c r="M5" s="3" t="s">
        <v>2</v>
      </c>
      <c r="N5" s="3">
        <v>62.5</v>
      </c>
      <c r="O5" s="3" t="s">
        <v>3</v>
      </c>
      <c r="P5" s="3">
        <v>48.5</v>
      </c>
      <c r="Q5" s="3" t="s">
        <v>2</v>
      </c>
      <c r="R5" s="3">
        <v>109.5</v>
      </c>
      <c r="S5" s="3" t="s">
        <v>3</v>
      </c>
      <c r="T5" s="3">
        <v>23.2</v>
      </c>
      <c r="U5" s="3" t="s">
        <v>3</v>
      </c>
      <c r="V5" s="3">
        <v>48</v>
      </c>
      <c r="W5" s="3" t="s">
        <v>2</v>
      </c>
      <c r="X5" s="3">
        <v>61.5</v>
      </c>
      <c r="Y5" s="3" t="s">
        <v>3</v>
      </c>
      <c r="Z5" s="3">
        <v>97.7</v>
      </c>
      <c r="AA5" s="3" t="s">
        <v>2</v>
      </c>
      <c r="AB5" s="3">
        <v>512.2</v>
      </c>
      <c r="AC5" s="3" t="s">
        <v>2</v>
      </c>
      <c r="AD5" s="3">
        <f t="shared" si="0"/>
        <v>4</v>
      </c>
    </row>
    <row r="6" ht="15" customHeight="1" spans="1:30">
      <c r="A6" s="3" t="s">
        <v>322</v>
      </c>
      <c r="B6" s="3" t="s">
        <v>322</v>
      </c>
      <c r="C6" s="3" t="s">
        <v>70</v>
      </c>
      <c r="D6" s="3" t="s">
        <v>55</v>
      </c>
      <c r="E6" s="3" t="s">
        <v>316</v>
      </c>
      <c r="F6" s="3" t="s">
        <v>317</v>
      </c>
      <c r="G6" s="3" t="s">
        <v>318</v>
      </c>
      <c r="H6" s="3">
        <v>98</v>
      </c>
      <c r="I6" s="3" t="s">
        <v>3</v>
      </c>
      <c r="J6" s="3">
        <v>94</v>
      </c>
      <c r="K6" s="3" t="s">
        <v>2</v>
      </c>
      <c r="L6" s="3">
        <v>73</v>
      </c>
      <c r="M6" s="3" t="s">
        <v>2</v>
      </c>
      <c r="N6" s="3">
        <v>67</v>
      </c>
      <c r="O6" s="3" t="s">
        <v>2</v>
      </c>
      <c r="P6" s="3">
        <v>46</v>
      </c>
      <c r="Q6" s="3" t="s">
        <v>2</v>
      </c>
      <c r="R6" s="3">
        <v>109</v>
      </c>
      <c r="S6" s="3" t="s">
        <v>3</v>
      </c>
      <c r="T6" s="3">
        <v>24.5</v>
      </c>
      <c r="U6" s="3" t="s">
        <v>2</v>
      </c>
      <c r="V6" s="3">
        <v>48</v>
      </c>
      <c r="W6" s="3" t="s">
        <v>2</v>
      </c>
      <c r="X6" s="3">
        <v>61</v>
      </c>
      <c r="Y6" s="3" t="s">
        <v>3</v>
      </c>
      <c r="Z6" s="3">
        <v>97.5</v>
      </c>
      <c r="AA6" s="3" t="s">
        <v>2</v>
      </c>
      <c r="AB6" s="3">
        <v>511.5</v>
      </c>
      <c r="AC6" s="3" t="s">
        <v>2</v>
      </c>
      <c r="AD6" s="3">
        <f t="shared" si="0"/>
        <v>5</v>
      </c>
    </row>
    <row r="7" ht="15" customHeight="1" spans="1:30">
      <c r="A7" s="3" t="s">
        <v>323</v>
      </c>
      <c r="B7" s="3" t="s">
        <v>323</v>
      </c>
      <c r="C7" s="3" t="s">
        <v>64</v>
      </c>
      <c r="D7" s="3" t="s">
        <v>54</v>
      </c>
      <c r="E7" s="3" t="s">
        <v>316</v>
      </c>
      <c r="F7" s="3" t="s">
        <v>317</v>
      </c>
      <c r="G7" s="3" t="s">
        <v>318</v>
      </c>
      <c r="H7" s="3">
        <v>103</v>
      </c>
      <c r="I7" s="3" t="s">
        <v>2</v>
      </c>
      <c r="J7" s="3">
        <v>90</v>
      </c>
      <c r="K7" s="3" t="s">
        <v>3</v>
      </c>
      <c r="L7" s="3">
        <v>73.5</v>
      </c>
      <c r="M7" s="3" t="s">
        <v>2</v>
      </c>
      <c r="N7" s="3">
        <v>64.5</v>
      </c>
      <c r="O7" s="3" t="s">
        <v>3</v>
      </c>
      <c r="P7" s="3">
        <v>48</v>
      </c>
      <c r="Q7" s="3" t="s">
        <v>2</v>
      </c>
      <c r="R7" s="3">
        <v>106.5</v>
      </c>
      <c r="S7" s="3" t="s">
        <v>3</v>
      </c>
      <c r="T7" s="3">
        <v>24.2</v>
      </c>
      <c r="U7" s="3" t="s">
        <v>2</v>
      </c>
      <c r="V7" s="3">
        <v>45.5</v>
      </c>
      <c r="W7" s="3" t="s">
        <v>3</v>
      </c>
      <c r="X7" s="3">
        <v>61</v>
      </c>
      <c r="Y7" s="3" t="s">
        <v>3</v>
      </c>
      <c r="Z7" s="3">
        <v>97.7</v>
      </c>
      <c r="AA7" s="3" t="s">
        <v>2</v>
      </c>
      <c r="AB7" s="3">
        <v>509.7</v>
      </c>
      <c r="AC7" s="3" t="s">
        <v>2</v>
      </c>
      <c r="AD7" s="3">
        <f t="shared" si="0"/>
        <v>6</v>
      </c>
    </row>
    <row r="8" ht="15" customHeight="1" spans="1:30">
      <c r="A8" s="3" t="s">
        <v>324</v>
      </c>
      <c r="B8" s="3" t="s">
        <v>324</v>
      </c>
      <c r="C8" s="3" t="s">
        <v>58</v>
      </c>
      <c r="D8" s="3" t="s">
        <v>53</v>
      </c>
      <c r="E8" s="3" t="s">
        <v>316</v>
      </c>
      <c r="F8" s="3" t="s">
        <v>317</v>
      </c>
      <c r="G8" s="3" t="s">
        <v>318</v>
      </c>
      <c r="H8" s="3">
        <v>107</v>
      </c>
      <c r="I8" s="3" t="s">
        <v>2</v>
      </c>
      <c r="J8" s="3">
        <v>90</v>
      </c>
      <c r="K8" s="3" t="s">
        <v>3</v>
      </c>
      <c r="L8" s="3">
        <v>72.5</v>
      </c>
      <c r="M8" s="3" t="s">
        <v>2</v>
      </c>
      <c r="N8" s="3">
        <v>62</v>
      </c>
      <c r="O8" s="3" t="s">
        <v>3</v>
      </c>
      <c r="P8" s="3">
        <v>47</v>
      </c>
      <c r="Q8" s="3" t="s">
        <v>2</v>
      </c>
      <c r="R8" s="3">
        <v>107</v>
      </c>
      <c r="S8" s="3" t="s">
        <v>3</v>
      </c>
      <c r="T8" s="3">
        <v>24</v>
      </c>
      <c r="U8" s="3" t="s">
        <v>2</v>
      </c>
      <c r="V8" s="3">
        <v>42.5</v>
      </c>
      <c r="W8" s="3" t="s">
        <v>5</v>
      </c>
      <c r="X8" s="3">
        <v>64.5</v>
      </c>
      <c r="Y8" s="3" t="s">
        <v>2</v>
      </c>
      <c r="Z8" s="3">
        <v>96.5</v>
      </c>
      <c r="AA8" s="3" t="s">
        <v>2</v>
      </c>
      <c r="AB8" s="3">
        <v>509.5</v>
      </c>
      <c r="AC8" s="3" t="s">
        <v>2</v>
      </c>
      <c r="AD8" s="3">
        <f t="shared" si="0"/>
        <v>7</v>
      </c>
    </row>
    <row r="9" ht="15" customHeight="1" spans="1:30">
      <c r="A9" s="3" t="s">
        <v>325</v>
      </c>
      <c r="B9" s="3" t="s">
        <v>325</v>
      </c>
      <c r="C9" s="3" t="s">
        <v>69</v>
      </c>
      <c r="D9" s="3" t="s">
        <v>54</v>
      </c>
      <c r="E9" s="3" t="s">
        <v>316</v>
      </c>
      <c r="F9" s="3" t="s">
        <v>317</v>
      </c>
      <c r="G9" s="3" t="s">
        <v>318</v>
      </c>
      <c r="H9" s="3">
        <v>105</v>
      </c>
      <c r="I9" s="3" t="s">
        <v>2</v>
      </c>
      <c r="J9" s="3">
        <v>91</v>
      </c>
      <c r="K9" s="3" t="s">
        <v>2</v>
      </c>
      <c r="L9" s="3">
        <v>72.5</v>
      </c>
      <c r="M9" s="3" t="s">
        <v>2</v>
      </c>
      <c r="N9" s="3">
        <v>63</v>
      </c>
      <c r="O9" s="3" t="s">
        <v>3</v>
      </c>
      <c r="P9" s="3">
        <v>42.5</v>
      </c>
      <c r="Q9" s="3" t="s">
        <v>3</v>
      </c>
      <c r="R9" s="3">
        <v>110</v>
      </c>
      <c r="S9" s="3" t="s">
        <v>3</v>
      </c>
      <c r="T9" s="3">
        <v>24</v>
      </c>
      <c r="U9" s="3" t="s">
        <v>2</v>
      </c>
      <c r="V9" s="3">
        <v>48</v>
      </c>
      <c r="W9" s="3" t="s">
        <v>2</v>
      </c>
      <c r="X9" s="3">
        <v>62</v>
      </c>
      <c r="Y9" s="3" t="s">
        <v>3</v>
      </c>
      <c r="Z9" s="3">
        <v>96.5</v>
      </c>
      <c r="AA9" s="3" t="s">
        <v>2</v>
      </c>
      <c r="AB9" s="3">
        <v>508</v>
      </c>
      <c r="AC9" s="3" t="s">
        <v>2</v>
      </c>
      <c r="AD9" s="3">
        <f t="shared" si="0"/>
        <v>8</v>
      </c>
    </row>
    <row r="10" ht="15" customHeight="1" spans="1:30">
      <c r="A10" s="3" t="s">
        <v>326</v>
      </c>
      <c r="B10" s="3" t="s">
        <v>326</v>
      </c>
      <c r="C10" s="3" t="s">
        <v>57</v>
      </c>
      <c r="D10" s="3" t="s">
        <v>51</v>
      </c>
      <c r="E10" s="3" t="s">
        <v>316</v>
      </c>
      <c r="F10" s="3" t="s">
        <v>317</v>
      </c>
      <c r="G10" s="3" t="s">
        <v>318</v>
      </c>
      <c r="H10" s="3">
        <v>103.5</v>
      </c>
      <c r="I10" s="3" t="s">
        <v>2</v>
      </c>
      <c r="J10" s="3">
        <v>87</v>
      </c>
      <c r="K10" s="3" t="s">
        <v>3</v>
      </c>
      <c r="L10" s="3">
        <v>72.5</v>
      </c>
      <c r="M10" s="3" t="s">
        <v>2</v>
      </c>
      <c r="N10" s="3">
        <v>69</v>
      </c>
      <c r="O10" s="3" t="s">
        <v>2</v>
      </c>
      <c r="P10" s="3">
        <v>44</v>
      </c>
      <c r="Q10" s="3" t="s">
        <v>3</v>
      </c>
      <c r="R10" s="3">
        <v>106.5</v>
      </c>
      <c r="S10" s="3" t="s">
        <v>3</v>
      </c>
      <c r="T10" s="3">
        <v>24</v>
      </c>
      <c r="U10" s="3" t="s">
        <v>2</v>
      </c>
      <c r="V10" s="3">
        <v>45</v>
      </c>
      <c r="W10" s="3" t="s">
        <v>3</v>
      </c>
      <c r="X10" s="3">
        <v>61.5</v>
      </c>
      <c r="Y10" s="3" t="s">
        <v>3</v>
      </c>
      <c r="Z10" s="3">
        <v>96.5</v>
      </c>
      <c r="AA10" s="3" t="s">
        <v>2</v>
      </c>
      <c r="AB10" s="3">
        <v>506.5</v>
      </c>
      <c r="AC10" s="3" t="s">
        <v>2</v>
      </c>
      <c r="AD10" s="3">
        <f t="shared" si="0"/>
        <v>9</v>
      </c>
    </row>
    <row r="11" ht="15" customHeight="1" spans="1:30">
      <c r="A11" s="3" t="s">
        <v>327</v>
      </c>
      <c r="B11" s="3" t="s">
        <v>327</v>
      </c>
      <c r="C11" s="3" t="s">
        <v>62</v>
      </c>
      <c r="D11" s="3" t="s">
        <v>51</v>
      </c>
      <c r="E11" s="3" t="s">
        <v>316</v>
      </c>
      <c r="F11" s="3" t="s">
        <v>317</v>
      </c>
      <c r="G11" s="3" t="s">
        <v>318</v>
      </c>
      <c r="H11" s="3">
        <v>97</v>
      </c>
      <c r="I11" s="3" t="s">
        <v>3</v>
      </c>
      <c r="J11" s="3">
        <v>89</v>
      </c>
      <c r="K11" s="3" t="s">
        <v>3</v>
      </c>
      <c r="L11" s="3">
        <v>74.5</v>
      </c>
      <c r="M11" s="3" t="s">
        <v>2</v>
      </c>
      <c r="N11" s="3">
        <v>66</v>
      </c>
      <c r="O11" s="3" t="s">
        <v>2</v>
      </c>
      <c r="P11" s="3">
        <v>44.5</v>
      </c>
      <c r="Q11" s="3" t="s">
        <v>3</v>
      </c>
      <c r="R11" s="3">
        <v>111</v>
      </c>
      <c r="S11" s="3" t="s">
        <v>2</v>
      </c>
      <c r="T11" s="3">
        <v>24.3</v>
      </c>
      <c r="U11" s="3" t="s">
        <v>2</v>
      </c>
      <c r="V11" s="3">
        <v>47</v>
      </c>
      <c r="W11" s="3" t="s">
        <v>3</v>
      </c>
      <c r="X11" s="3">
        <v>64</v>
      </c>
      <c r="Y11" s="3" t="s">
        <v>2</v>
      </c>
      <c r="Z11" s="3">
        <v>98.8</v>
      </c>
      <c r="AA11" s="3" t="s">
        <v>2</v>
      </c>
      <c r="AB11" s="3">
        <v>506.3</v>
      </c>
      <c r="AC11" s="3" t="s">
        <v>2</v>
      </c>
      <c r="AD11" s="3">
        <f t="shared" si="0"/>
        <v>10</v>
      </c>
    </row>
    <row r="12" ht="15" customHeight="1" spans="1:30">
      <c r="A12" s="3" t="s">
        <v>328</v>
      </c>
      <c r="B12" s="3" t="s">
        <v>328</v>
      </c>
      <c r="C12" s="3" t="s">
        <v>75</v>
      </c>
      <c r="D12" s="3" t="s">
        <v>55</v>
      </c>
      <c r="E12" s="3" t="s">
        <v>316</v>
      </c>
      <c r="F12" s="3" t="s">
        <v>317</v>
      </c>
      <c r="G12" s="3" t="s">
        <v>318</v>
      </c>
      <c r="H12" s="3">
        <v>101.5</v>
      </c>
      <c r="I12" s="3" t="s">
        <v>2</v>
      </c>
      <c r="J12" s="3">
        <v>90</v>
      </c>
      <c r="K12" s="3" t="s">
        <v>3</v>
      </c>
      <c r="L12" s="3">
        <v>71</v>
      </c>
      <c r="M12" s="3" t="s">
        <v>2</v>
      </c>
      <c r="N12" s="3">
        <v>63.5</v>
      </c>
      <c r="O12" s="3" t="s">
        <v>3</v>
      </c>
      <c r="P12" s="3">
        <v>45.5</v>
      </c>
      <c r="Q12" s="3" t="s">
        <v>2</v>
      </c>
      <c r="R12" s="3">
        <v>110.5</v>
      </c>
      <c r="S12" s="3" t="s">
        <v>3</v>
      </c>
      <c r="T12" s="3">
        <v>24.3</v>
      </c>
      <c r="U12" s="3" t="s">
        <v>2</v>
      </c>
      <c r="V12" s="3">
        <v>47</v>
      </c>
      <c r="W12" s="3" t="s">
        <v>3</v>
      </c>
      <c r="X12" s="3">
        <v>63.5</v>
      </c>
      <c r="Y12" s="3" t="s">
        <v>3</v>
      </c>
      <c r="Z12" s="3">
        <v>95.3</v>
      </c>
      <c r="AA12" s="3" t="s">
        <v>2</v>
      </c>
      <c r="AB12" s="3">
        <v>506.3</v>
      </c>
      <c r="AC12" s="3" t="s">
        <v>2</v>
      </c>
      <c r="AD12" s="3">
        <f t="shared" si="0"/>
        <v>10</v>
      </c>
    </row>
    <row r="13" ht="15" customHeight="1" spans="1:30">
      <c r="A13" s="3" t="s">
        <v>329</v>
      </c>
      <c r="B13" s="3" t="s">
        <v>329</v>
      </c>
      <c r="C13" s="3" t="s">
        <v>66</v>
      </c>
      <c r="D13" s="3" t="s">
        <v>56</v>
      </c>
      <c r="E13" s="3" t="s">
        <v>316</v>
      </c>
      <c r="F13" s="3" t="s">
        <v>317</v>
      </c>
      <c r="G13" s="3" t="s">
        <v>318</v>
      </c>
      <c r="H13" s="3">
        <v>102</v>
      </c>
      <c r="I13" s="3" t="s">
        <v>2</v>
      </c>
      <c r="J13" s="3">
        <v>91</v>
      </c>
      <c r="K13" s="3" t="s">
        <v>2</v>
      </c>
      <c r="L13" s="3">
        <v>71.5</v>
      </c>
      <c r="M13" s="3" t="s">
        <v>2</v>
      </c>
      <c r="N13" s="3">
        <v>63.5</v>
      </c>
      <c r="O13" s="3" t="s">
        <v>3</v>
      </c>
      <c r="P13" s="3">
        <v>46</v>
      </c>
      <c r="Q13" s="3" t="s">
        <v>2</v>
      </c>
      <c r="R13" s="3">
        <v>107.5</v>
      </c>
      <c r="S13" s="3" t="s">
        <v>3</v>
      </c>
      <c r="T13" s="3">
        <v>24.1</v>
      </c>
      <c r="U13" s="3" t="s">
        <v>2</v>
      </c>
      <c r="V13" s="3">
        <v>44.5</v>
      </c>
      <c r="W13" s="3" t="s">
        <v>3</v>
      </c>
      <c r="X13" s="3">
        <v>63</v>
      </c>
      <c r="Y13" s="3" t="s">
        <v>3</v>
      </c>
      <c r="Z13" s="3">
        <v>95.6</v>
      </c>
      <c r="AA13" s="3" t="s">
        <v>2</v>
      </c>
      <c r="AB13" s="3">
        <v>505.6</v>
      </c>
      <c r="AC13" s="3" t="s">
        <v>2</v>
      </c>
      <c r="AD13" s="3">
        <f t="shared" si="0"/>
        <v>12</v>
      </c>
    </row>
    <row r="14" ht="15" customHeight="1" spans="1:30">
      <c r="A14" s="3" t="s">
        <v>330</v>
      </c>
      <c r="B14" s="3" t="s">
        <v>330</v>
      </c>
      <c r="C14" s="3" t="s">
        <v>63</v>
      </c>
      <c r="D14" s="3" t="s">
        <v>53</v>
      </c>
      <c r="E14" s="3" t="s">
        <v>316</v>
      </c>
      <c r="F14" s="3" t="s">
        <v>317</v>
      </c>
      <c r="G14" s="3" t="s">
        <v>318</v>
      </c>
      <c r="H14" s="3">
        <v>103.5</v>
      </c>
      <c r="I14" s="3" t="s">
        <v>2</v>
      </c>
      <c r="J14" s="3">
        <v>83</v>
      </c>
      <c r="K14" s="3" t="s">
        <v>3</v>
      </c>
      <c r="L14" s="3">
        <v>74</v>
      </c>
      <c r="M14" s="3" t="s">
        <v>2</v>
      </c>
      <c r="N14" s="3">
        <v>62.5</v>
      </c>
      <c r="O14" s="3" t="s">
        <v>3</v>
      </c>
      <c r="P14" s="3">
        <v>47.5</v>
      </c>
      <c r="Q14" s="3" t="s">
        <v>2</v>
      </c>
      <c r="R14" s="3">
        <v>110.5</v>
      </c>
      <c r="S14" s="3" t="s">
        <v>3</v>
      </c>
      <c r="T14" s="3">
        <v>24.4</v>
      </c>
      <c r="U14" s="3" t="s">
        <v>2</v>
      </c>
      <c r="V14" s="3">
        <v>48.5</v>
      </c>
      <c r="W14" s="3" t="s">
        <v>2</v>
      </c>
      <c r="X14" s="3">
        <v>62</v>
      </c>
      <c r="Y14" s="3" t="s">
        <v>3</v>
      </c>
      <c r="Z14" s="3">
        <v>98.4</v>
      </c>
      <c r="AA14" s="3" t="s">
        <v>2</v>
      </c>
      <c r="AB14" s="3">
        <v>505.4</v>
      </c>
      <c r="AC14" s="3" t="s">
        <v>2</v>
      </c>
      <c r="AD14" s="3">
        <f t="shared" si="0"/>
        <v>13</v>
      </c>
    </row>
    <row r="15" ht="15" customHeight="1" spans="1:30">
      <c r="A15" s="3" t="s">
        <v>331</v>
      </c>
      <c r="B15" s="3" t="s">
        <v>331</v>
      </c>
      <c r="C15" s="3" t="s">
        <v>67</v>
      </c>
      <c r="D15" s="3" t="s">
        <v>51</v>
      </c>
      <c r="E15" s="3" t="s">
        <v>316</v>
      </c>
      <c r="F15" s="3" t="s">
        <v>317</v>
      </c>
      <c r="G15" s="3" t="s">
        <v>318</v>
      </c>
      <c r="H15" s="3">
        <v>105</v>
      </c>
      <c r="I15" s="3" t="s">
        <v>2</v>
      </c>
      <c r="J15" s="3">
        <v>83</v>
      </c>
      <c r="K15" s="3" t="s">
        <v>3</v>
      </c>
      <c r="L15" s="3">
        <v>71</v>
      </c>
      <c r="M15" s="3" t="s">
        <v>2</v>
      </c>
      <c r="N15" s="3">
        <v>66</v>
      </c>
      <c r="O15" s="3" t="s">
        <v>2</v>
      </c>
      <c r="P15" s="3">
        <v>43.5</v>
      </c>
      <c r="Q15" s="3" t="s">
        <v>3</v>
      </c>
      <c r="R15" s="3">
        <v>112.5</v>
      </c>
      <c r="S15" s="3" t="s">
        <v>2</v>
      </c>
      <c r="T15" s="3">
        <v>24</v>
      </c>
      <c r="U15" s="3" t="s">
        <v>2</v>
      </c>
      <c r="V15" s="3">
        <v>49</v>
      </c>
      <c r="W15" s="3" t="s">
        <v>2</v>
      </c>
      <c r="X15" s="3">
        <v>63.5</v>
      </c>
      <c r="Y15" s="3" t="s">
        <v>3</v>
      </c>
      <c r="Z15" s="3">
        <v>95</v>
      </c>
      <c r="AA15" s="3" t="s">
        <v>2</v>
      </c>
      <c r="AB15" s="3">
        <v>505</v>
      </c>
      <c r="AC15" s="3" t="s">
        <v>2</v>
      </c>
      <c r="AD15" s="3">
        <f t="shared" si="0"/>
        <v>14</v>
      </c>
    </row>
    <row r="16" ht="15" customHeight="1" spans="1:30">
      <c r="A16" s="3" t="s">
        <v>332</v>
      </c>
      <c r="B16" s="3" t="s">
        <v>332</v>
      </c>
      <c r="C16" s="3" t="s">
        <v>71</v>
      </c>
      <c r="D16" s="3" t="s">
        <v>56</v>
      </c>
      <c r="E16" s="3" t="s">
        <v>316</v>
      </c>
      <c r="F16" s="3" t="s">
        <v>317</v>
      </c>
      <c r="G16" s="3" t="s">
        <v>318</v>
      </c>
      <c r="H16" s="3">
        <v>103.5</v>
      </c>
      <c r="I16" s="3" t="s">
        <v>2</v>
      </c>
      <c r="J16" s="3">
        <v>87</v>
      </c>
      <c r="K16" s="3" t="s">
        <v>3</v>
      </c>
      <c r="L16" s="3">
        <v>70</v>
      </c>
      <c r="M16" s="3" t="s">
        <v>3</v>
      </c>
      <c r="N16" s="3">
        <v>66.5</v>
      </c>
      <c r="O16" s="3" t="s">
        <v>2</v>
      </c>
      <c r="P16" s="3">
        <v>42.5</v>
      </c>
      <c r="Q16" s="3" t="s">
        <v>3</v>
      </c>
      <c r="R16" s="3">
        <v>107</v>
      </c>
      <c r="S16" s="3" t="s">
        <v>3</v>
      </c>
      <c r="T16" s="3">
        <v>24.1</v>
      </c>
      <c r="U16" s="3" t="s">
        <v>2</v>
      </c>
      <c r="V16" s="3">
        <v>46</v>
      </c>
      <c r="W16" s="3" t="s">
        <v>3</v>
      </c>
      <c r="X16" s="3">
        <v>61</v>
      </c>
      <c r="Y16" s="3" t="s">
        <v>3</v>
      </c>
      <c r="Z16" s="3">
        <v>94.1</v>
      </c>
      <c r="AA16" s="3" t="s">
        <v>3</v>
      </c>
      <c r="AB16" s="3">
        <v>500.6</v>
      </c>
      <c r="AC16" s="3" t="s">
        <v>2</v>
      </c>
      <c r="AD16" s="3">
        <f t="shared" si="0"/>
        <v>15</v>
      </c>
    </row>
    <row r="17" ht="15" customHeight="1" spans="1:30">
      <c r="A17" s="3" t="s">
        <v>333</v>
      </c>
      <c r="B17" s="3" t="s">
        <v>333</v>
      </c>
      <c r="C17" s="3" t="s">
        <v>72</v>
      </c>
      <c r="D17" s="3" t="s">
        <v>51</v>
      </c>
      <c r="E17" s="3" t="s">
        <v>316</v>
      </c>
      <c r="F17" s="3" t="s">
        <v>317</v>
      </c>
      <c r="G17" s="3" t="s">
        <v>318</v>
      </c>
      <c r="H17" s="3">
        <v>98.5</v>
      </c>
      <c r="I17" s="3" t="s">
        <v>3</v>
      </c>
      <c r="J17" s="3">
        <v>93</v>
      </c>
      <c r="K17" s="3" t="s">
        <v>2</v>
      </c>
      <c r="L17" s="3">
        <v>72</v>
      </c>
      <c r="M17" s="3" t="s">
        <v>2</v>
      </c>
      <c r="N17" s="3">
        <v>67</v>
      </c>
      <c r="O17" s="3" t="s">
        <v>2</v>
      </c>
      <c r="P17" s="3">
        <v>48</v>
      </c>
      <c r="Q17" s="3" t="s">
        <v>2</v>
      </c>
      <c r="R17" s="3">
        <v>98.5</v>
      </c>
      <c r="S17" s="3" t="s">
        <v>5</v>
      </c>
      <c r="T17" s="3">
        <v>23.3</v>
      </c>
      <c r="U17" s="3" t="s">
        <v>3</v>
      </c>
      <c r="V17" s="3">
        <v>41.5</v>
      </c>
      <c r="W17" s="3" t="s">
        <v>5</v>
      </c>
      <c r="X17" s="3">
        <v>57</v>
      </c>
      <c r="Y17" s="3" t="s">
        <v>3</v>
      </c>
      <c r="Z17" s="3">
        <v>95.3</v>
      </c>
      <c r="AA17" s="3" t="s">
        <v>2</v>
      </c>
      <c r="AB17" s="3">
        <v>500.3</v>
      </c>
      <c r="AC17" s="3" t="s">
        <v>2</v>
      </c>
      <c r="AD17" s="3">
        <f t="shared" si="0"/>
        <v>16</v>
      </c>
    </row>
    <row r="18" ht="15" customHeight="1" spans="1:30">
      <c r="A18" s="3" t="s">
        <v>334</v>
      </c>
      <c r="B18" s="3" t="s">
        <v>334</v>
      </c>
      <c r="C18" s="3" t="s">
        <v>74</v>
      </c>
      <c r="D18" s="3" t="s">
        <v>54</v>
      </c>
      <c r="E18" s="3" t="s">
        <v>316</v>
      </c>
      <c r="F18" s="3" t="s">
        <v>317</v>
      </c>
      <c r="G18" s="3" t="s">
        <v>318</v>
      </c>
      <c r="H18" s="3">
        <v>100.5</v>
      </c>
      <c r="I18" s="3" t="s">
        <v>2</v>
      </c>
      <c r="J18" s="3">
        <v>86</v>
      </c>
      <c r="K18" s="3" t="s">
        <v>3</v>
      </c>
      <c r="L18" s="3">
        <v>69.5</v>
      </c>
      <c r="M18" s="3" t="s">
        <v>3</v>
      </c>
      <c r="N18" s="3">
        <v>63.5</v>
      </c>
      <c r="O18" s="3" t="s">
        <v>3</v>
      </c>
      <c r="P18" s="3">
        <v>44</v>
      </c>
      <c r="Q18" s="3" t="s">
        <v>3</v>
      </c>
      <c r="R18" s="3">
        <v>112</v>
      </c>
      <c r="S18" s="3" t="s">
        <v>2</v>
      </c>
      <c r="T18" s="3">
        <v>24.2</v>
      </c>
      <c r="U18" s="3" t="s">
        <v>2</v>
      </c>
      <c r="V18" s="3">
        <v>48</v>
      </c>
      <c r="W18" s="3" t="s">
        <v>2</v>
      </c>
      <c r="X18" s="3">
        <v>64</v>
      </c>
      <c r="Y18" s="3" t="s">
        <v>2</v>
      </c>
      <c r="Z18" s="3">
        <v>93.7</v>
      </c>
      <c r="AA18" s="3" t="s">
        <v>3</v>
      </c>
      <c r="AB18" s="3">
        <v>499.7</v>
      </c>
      <c r="AC18" s="3" t="s">
        <v>2</v>
      </c>
      <c r="AD18" s="3">
        <f t="shared" si="0"/>
        <v>17</v>
      </c>
    </row>
    <row r="19" ht="15" customHeight="1" spans="1:30">
      <c r="A19" s="3" t="s">
        <v>335</v>
      </c>
      <c r="B19" s="3" t="s">
        <v>335</v>
      </c>
      <c r="C19" s="3" t="s">
        <v>68</v>
      </c>
      <c r="D19" s="3" t="s">
        <v>53</v>
      </c>
      <c r="E19" s="3" t="s">
        <v>316</v>
      </c>
      <c r="F19" s="3" t="s">
        <v>317</v>
      </c>
      <c r="G19" s="3" t="s">
        <v>318</v>
      </c>
      <c r="H19" s="3">
        <v>102.5</v>
      </c>
      <c r="I19" s="3" t="s">
        <v>2</v>
      </c>
      <c r="J19" s="3">
        <v>81</v>
      </c>
      <c r="K19" s="3" t="s">
        <v>5</v>
      </c>
      <c r="L19" s="3">
        <v>71.5</v>
      </c>
      <c r="M19" s="3" t="s">
        <v>2</v>
      </c>
      <c r="N19" s="3">
        <v>67</v>
      </c>
      <c r="O19" s="3" t="s">
        <v>2</v>
      </c>
      <c r="P19" s="3">
        <v>47.5</v>
      </c>
      <c r="Q19" s="3" t="s">
        <v>2</v>
      </c>
      <c r="R19" s="3">
        <v>106.5</v>
      </c>
      <c r="S19" s="3" t="s">
        <v>3</v>
      </c>
      <c r="T19" s="3">
        <v>23.2</v>
      </c>
      <c r="U19" s="3" t="s">
        <v>3</v>
      </c>
      <c r="V19" s="3">
        <v>41.5</v>
      </c>
      <c r="W19" s="3" t="s">
        <v>5</v>
      </c>
      <c r="X19" s="3">
        <v>65</v>
      </c>
      <c r="Y19" s="3" t="s">
        <v>2</v>
      </c>
      <c r="Z19" s="3">
        <v>94.7</v>
      </c>
      <c r="AA19" s="3" t="s">
        <v>2</v>
      </c>
      <c r="AB19" s="3">
        <v>499.2</v>
      </c>
      <c r="AC19" s="3" t="s">
        <v>2</v>
      </c>
      <c r="AD19" s="3">
        <f t="shared" si="0"/>
        <v>18</v>
      </c>
    </row>
    <row r="20" ht="15" customHeight="1" spans="1:30">
      <c r="A20" s="3" t="s">
        <v>336</v>
      </c>
      <c r="B20" s="3" t="s">
        <v>336</v>
      </c>
      <c r="C20" s="3" t="s">
        <v>77</v>
      </c>
      <c r="D20" s="3" t="s">
        <v>51</v>
      </c>
      <c r="E20" s="3" t="s">
        <v>316</v>
      </c>
      <c r="F20" s="3" t="s">
        <v>317</v>
      </c>
      <c r="G20" s="3" t="s">
        <v>318</v>
      </c>
      <c r="H20" s="3">
        <v>95.5</v>
      </c>
      <c r="I20" s="3" t="s">
        <v>3</v>
      </c>
      <c r="J20" s="3">
        <v>91</v>
      </c>
      <c r="K20" s="3" t="s">
        <v>2</v>
      </c>
      <c r="L20" s="3">
        <v>74</v>
      </c>
      <c r="M20" s="3" t="s">
        <v>2</v>
      </c>
      <c r="N20" s="3">
        <v>61</v>
      </c>
      <c r="O20" s="3" t="s">
        <v>3</v>
      </c>
      <c r="P20" s="3">
        <v>41.5</v>
      </c>
      <c r="Q20" s="3" t="s">
        <v>3</v>
      </c>
      <c r="R20" s="3">
        <v>109.5</v>
      </c>
      <c r="S20" s="3" t="s">
        <v>3</v>
      </c>
      <c r="T20" s="3">
        <v>23.7</v>
      </c>
      <c r="U20" s="3" t="s">
        <v>3</v>
      </c>
      <c r="V20" s="3">
        <v>47</v>
      </c>
      <c r="W20" s="3" t="s">
        <v>3</v>
      </c>
      <c r="X20" s="3">
        <v>62.5</v>
      </c>
      <c r="Y20" s="3" t="s">
        <v>3</v>
      </c>
      <c r="Z20" s="3">
        <v>97.7</v>
      </c>
      <c r="AA20" s="3" t="s">
        <v>2</v>
      </c>
      <c r="AB20" s="3">
        <v>496.2</v>
      </c>
      <c r="AC20" s="3" t="s">
        <v>3</v>
      </c>
      <c r="AD20" s="3">
        <f t="shared" si="0"/>
        <v>19</v>
      </c>
    </row>
    <row r="21" ht="15" customHeight="1" spans="1:30">
      <c r="A21" s="3" t="s">
        <v>337</v>
      </c>
      <c r="B21" s="3" t="s">
        <v>337</v>
      </c>
      <c r="C21" s="3" t="s">
        <v>73</v>
      </c>
      <c r="D21" s="3" t="s">
        <v>53</v>
      </c>
      <c r="E21" s="3" t="s">
        <v>316</v>
      </c>
      <c r="F21" s="3" t="s">
        <v>317</v>
      </c>
      <c r="G21" s="3" t="s">
        <v>318</v>
      </c>
      <c r="H21" s="3">
        <v>100.5</v>
      </c>
      <c r="I21" s="3" t="s">
        <v>2</v>
      </c>
      <c r="J21" s="3">
        <v>88</v>
      </c>
      <c r="K21" s="3" t="s">
        <v>3</v>
      </c>
      <c r="L21" s="3">
        <v>68</v>
      </c>
      <c r="M21" s="3" t="s">
        <v>3</v>
      </c>
      <c r="N21" s="3">
        <v>63.5</v>
      </c>
      <c r="O21" s="3" t="s">
        <v>3</v>
      </c>
      <c r="P21" s="3">
        <v>41.5</v>
      </c>
      <c r="Q21" s="3" t="s">
        <v>3</v>
      </c>
      <c r="R21" s="3">
        <v>110</v>
      </c>
      <c r="S21" s="3" t="s">
        <v>3</v>
      </c>
      <c r="T21" s="3">
        <v>24.1</v>
      </c>
      <c r="U21" s="3" t="s">
        <v>2</v>
      </c>
      <c r="V21" s="3">
        <v>48</v>
      </c>
      <c r="W21" s="3" t="s">
        <v>2</v>
      </c>
      <c r="X21" s="3">
        <v>62</v>
      </c>
      <c r="Y21" s="3" t="s">
        <v>3</v>
      </c>
      <c r="Z21" s="3">
        <v>92.1</v>
      </c>
      <c r="AA21" s="3" t="s">
        <v>3</v>
      </c>
      <c r="AB21" s="3">
        <v>495.6</v>
      </c>
      <c r="AC21" s="3" t="s">
        <v>3</v>
      </c>
      <c r="AD21" s="3">
        <f t="shared" si="0"/>
        <v>20</v>
      </c>
    </row>
    <row r="22" ht="15" customHeight="1" spans="1:30">
      <c r="A22" s="3" t="s">
        <v>338</v>
      </c>
      <c r="B22" s="3" t="s">
        <v>338</v>
      </c>
      <c r="C22" s="3" t="s">
        <v>80</v>
      </c>
      <c r="D22" s="3" t="s">
        <v>55</v>
      </c>
      <c r="E22" s="3" t="s">
        <v>316</v>
      </c>
      <c r="F22" s="3" t="s">
        <v>317</v>
      </c>
      <c r="G22" s="3" t="s">
        <v>318</v>
      </c>
      <c r="H22" s="3">
        <v>98</v>
      </c>
      <c r="I22" s="3" t="s">
        <v>3</v>
      </c>
      <c r="J22" s="3">
        <v>92</v>
      </c>
      <c r="K22" s="3" t="s">
        <v>2</v>
      </c>
      <c r="L22" s="3">
        <v>71</v>
      </c>
      <c r="M22" s="3" t="s">
        <v>2</v>
      </c>
      <c r="N22" s="3">
        <v>66.5</v>
      </c>
      <c r="O22" s="3" t="s">
        <v>2</v>
      </c>
      <c r="P22" s="3">
        <v>40.5</v>
      </c>
      <c r="Q22" s="3" t="s">
        <v>5</v>
      </c>
      <c r="R22" s="3">
        <v>104</v>
      </c>
      <c r="S22" s="3" t="s">
        <v>3</v>
      </c>
      <c r="T22" s="3">
        <v>23.4</v>
      </c>
      <c r="U22" s="3" t="s">
        <v>3</v>
      </c>
      <c r="V22" s="3">
        <v>45</v>
      </c>
      <c r="W22" s="3" t="s">
        <v>3</v>
      </c>
      <c r="X22" s="3">
        <v>59</v>
      </c>
      <c r="Y22" s="3" t="s">
        <v>3</v>
      </c>
      <c r="Z22" s="3">
        <v>94.4</v>
      </c>
      <c r="AA22" s="3" t="s">
        <v>3</v>
      </c>
      <c r="AB22" s="3">
        <v>495.4</v>
      </c>
      <c r="AC22" s="3" t="s">
        <v>3</v>
      </c>
      <c r="AD22" s="3">
        <f t="shared" si="0"/>
        <v>21</v>
      </c>
    </row>
    <row r="23" ht="15" customHeight="1" spans="1:30">
      <c r="A23" s="3" t="s">
        <v>339</v>
      </c>
      <c r="B23" s="3" t="s">
        <v>339</v>
      </c>
      <c r="C23" s="3" t="s">
        <v>86</v>
      </c>
      <c r="D23" s="3" t="s">
        <v>55</v>
      </c>
      <c r="E23" s="3" t="s">
        <v>316</v>
      </c>
      <c r="F23" s="3" t="s">
        <v>317</v>
      </c>
      <c r="G23" s="3" t="s">
        <v>318</v>
      </c>
      <c r="H23" s="3">
        <v>96</v>
      </c>
      <c r="I23" s="3" t="s">
        <v>3</v>
      </c>
      <c r="J23" s="3">
        <v>90</v>
      </c>
      <c r="K23" s="3" t="s">
        <v>3</v>
      </c>
      <c r="L23" s="3">
        <v>74</v>
      </c>
      <c r="M23" s="3" t="s">
        <v>2</v>
      </c>
      <c r="N23" s="3">
        <v>64.5</v>
      </c>
      <c r="O23" s="3" t="s">
        <v>3</v>
      </c>
      <c r="P23" s="3">
        <v>42.5</v>
      </c>
      <c r="Q23" s="3" t="s">
        <v>3</v>
      </c>
      <c r="R23" s="3">
        <v>104.5</v>
      </c>
      <c r="S23" s="3" t="s">
        <v>3</v>
      </c>
      <c r="T23" s="3">
        <v>23.2</v>
      </c>
      <c r="U23" s="3" t="s">
        <v>3</v>
      </c>
      <c r="V23" s="3">
        <v>46</v>
      </c>
      <c r="W23" s="3" t="s">
        <v>3</v>
      </c>
      <c r="X23" s="3">
        <v>58.5</v>
      </c>
      <c r="Y23" s="3" t="s">
        <v>3</v>
      </c>
      <c r="Z23" s="3">
        <v>97.2</v>
      </c>
      <c r="AA23" s="3" t="s">
        <v>2</v>
      </c>
      <c r="AB23" s="3">
        <v>494.7</v>
      </c>
      <c r="AC23" s="3" t="s">
        <v>3</v>
      </c>
      <c r="AD23" s="3">
        <f t="shared" si="0"/>
        <v>22</v>
      </c>
    </row>
    <row r="24" ht="15" customHeight="1" spans="1:30">
      <c r="A24" s="3" t="s">
        <v>340</v>
      </c>
      <c r="B24" s="3" t="s">
        <v>340</v>
      </c>
      <c r="C24" s="3" t="s">
        <v>79</v>
      </c>
      <c r="D24" s="3" t="s">
        <v>54</v>
      </c>
      <c r="E24" s="3" t="s">
        <v>316</v>
      </c>
      <c r="F24" s="3" t="s">
        <v>317</v>
      </c>
      <c r="G24" s="3" t="s">
        <v>318</v>
      </c>
      <c r="H24" s="3">
        <v>103</v>
      </c>
      <c r="I24" s="3" t="s">
        <v>2</v>
      </c>
      <c r="J24" s="3">
        <v>84</v>
      </c>
      <c r="K24" s="3" t="s">
        <v>3</v>
      </c>
      <c r="L24" s="3">
        <v>71.5</v>
      </c>
      <c r="M24" s="3" t="s">
        <v>2</v>
      </c>
      <c r="N24" s="3">
        <v>64.5</v>
      </c>
      <c r="O24" s="3" t="s">
        <v>3</v>
      </c>
      <c r="P24" s="3">
        <v>46</v>
      </c>
      <c r="Q24" s="3" t="s">
        <v>2</v>
      </c>
      <c r="R24" s="3">
        <v>101</v>
      </c>
      <c r="S24" s="3" t="s">
        <v>3</v>
      </c>
      <c r="T24" s="3">
        <v>24.3</v>
      </c>
      <c r="U24" s="3" t="s">
        <v>2</v>
      </c>
      <c r="V24" s="3">
        <v>46</v>
      </c>
      <c r="W24" s="3" t="s">
        <v>3</v>
      </c>
      <c r="X24" s="3">
        <v>55</v>
      </c>
      <c r="Y24" s="3" t="s">
        <v>5</v>
      </c>
      <c r="Z24" s="3">
        <v>95.8</v>
      </c>
      <c r="AA24" s="3" t="s">
        <v>2</v>
      </c>
      <c r="AB24" s="3">
        <v>494.3</v>
      </c>
      <c r="AC24" s="3" t="s">
        <v>3</v>
      </c>
      <c r="AD24" s="3">
        <f t="shared" si="0"/>
        <v>23</v>
      </c>
    </row>
    <row r="25" ht="15" customHeight="1" spans="1:30">
      <c r="A25" s="3" t="s">
        <v>341</v>
      </c>
      <c r="B25" s="3" t="s">
        <v>341</v>
      </c>
      <c r="C25" s="3" t="s">
        <v>76</v>
      </c>
      <c r="D25" s="3" t="s">
        <v>56</v>
      </c>
      <c r="E25" s="3" t="s">
        <v>316</v>
      </c>
      <c r="F25" s="3" t="s">
        <v>317</v>
      </c>
      <c r="G25" s="3" t="s">
        <v>318</v>
      </c>
      <c r="H25" s="3">
        <v>99</v>
      </c>
      <c r="I25" s="3" t="s">
        <v>3</v>
      </c>
      <c r="J25" s="3">
        <v>90</v>
      </c>
      <c r="K25" s="3" t="s">
        <v>3</v>
      </c>
      <c r="L25" s="3">
        <v>70.5</v>
      </c>
      <c r="M25" s="3" t="s">
        <v>3</v>
      </c>
      <c r="N25" s="3">
        <v>61.5</v>
      </c>
      <c r="O25" s="3" t="s">
        <v>3</v>
      </c>
      <c r="P25" s="3">
        <v>44</v>
      </c>
      <c r="Q25" s="3" t="s">
        <v>3</v>
      </c>
      <c r="R25" s="3">
        <v>103</v>
      </c>
      <c r="S25" s="3" t="s">
        <v>3</v>
      </c>
      <c r="T25" s="3">
        <v>24</v>
      </c>
      <c r="U25" s="3" t="s">
        <v>2</v>
      </c>
      <c r="V25" s="3">
        <v>44.5</v>
      </c>
      <c r="W25" s="3" t="s">
        <v>3</v>
      </c>
      <c r="X25" s="3">
        <v>58.5</v>
      </c>
      <c r="Y25" s="3" t="s">
        <v>3</v>
      </c>
      <c r="Z25" s="3">
        <v>94.5</v>
      </c>
      <c r="AA25" s="3" t="s">
        <v>3</v>
      </c>
      <c r="AB25" s="3">
        <v>492</v>
      </c>
      <c r="AC25" s="3" t="s">
        <v>3</v>
      </c>
      <c r="AD25" s="3">
        <f t="shared" si="0"/>
        <v>24</v>
      </c>
    </row>
    <row r="26" ht="15" customHeight="1" spans="1:30">
      <c r="A26" s="3" t="s">
        <v>342</v>
      </c>
      <c r="B26" s="3" t="s">
        <v>342</v>
      </c>
      <c r="C26" s="3" t="s">
        <v>91</v>
      </c>
      <c r="D26" s="3" t="s">
        <v>55</v>
      </c>
      <c r="E26" s="3" t="s">
        <v>316</v>
      </c>
      <c r="F26" s="3" t="s">
        <v>317</v>
      </c>
      <c r="G26" s="3" t="s">
        <v>318</v>
      </c>
      <c r="H26" s="3">
        <v>101</v>
      </c>
      <c r="I26" s="3" t="s">
        <v>2</v>
      </c>
      <c r="J26" s="3">
        <v>85</v>
      </c>
      <c r="K26" s="3" t="s">
        <v>3</v>
      </c>
      <c r="L26" s="3">
        <v>71</v>
      </c>
      <c r="M26" s="3" t="s">
        <v>2</v>
      </c>
      <c r="N26" s="3">
        <v>66</v>
      </c>
      <c r="O26" s="3" t="s">
        <v>2</v>
      </c>
      <c r="P26" s="3">
        <v>43</v>
      </c>
      <c r="Q26" s="3" t="s">
        <v>3</v>
      </c>
      <c r="R26" s="3">
        <v>100.5</v>
      </c>
      <c r="S26" s="3" t="s">
        <v>5</v>
      </c>
      <c r="T26" s="3">
        <v>24.3</v>
      </c>
      <c r="U26" s="3" t="s">
        <v>2</v>
      </c>
      <c r="V26" s="3">
        <v>45</v>
      </c>
      <c r="W26" s="3" t="s">
        <v>3</v>
      </c>
      <c r="X26" s="3">
        <v>55.5</v>
      </c>
      <c r="Y26" s="3" t="s">
        <v>5</v>
      </c>
      <c r="Z26" s="3">
        <v>95.3</v>
      </c>
      <c r="AA26" s="3" t="s">
        <v>2</v>
      </c>
      <c r="AB26" s="3">
        <v>490.8</v>
      </c>
      <c r="AC26" s="3" t="s">
        <v>3</v>
      </c>
      <c r="AD26" s="3">
        <f t="shared" si="0"/>
        <v>25</v>
      </c>
    </row>
    <row r="27" ht="15" customHeight="1" spans="1:30">
      <c r="A27" s="3" t="s">
        <v>343</v>
      </c>
      <c r="B27" s="3" t="s">
        <v>343</v>
      </c>
      <c r="C27" s="3" t="s">
        <v>85</v>
      </c>
      <c r="D27" s="3" t="s">
        <v>54</v>
      </c>
      <c r="E27" s="3" t="s">
        <v>316</v>
      </c>
      <c r="F27" s="3" t="s">
        <v>317</v>
      </c>
      <c r="G27" s="3" t="s">
        <v>318</v>
      </c>
      <c r="H27" s="3">
        <v>98</v>
      </c>
      <c r="I27" s="3" t="s">
        <v>3</v>
      </c>
      <c r="J27" s="3">
        <v>89</v>
      </c>
      <c r="K27" s="3" t="s">
        <v>3</v>
      </c>
      <c r="L27" s="3">
        <v>69</v>
      </c>
      <c r="M27" s="3" t="s">
        <v>3</v>
      </c>
      <c r="N27" s="3">
        <v>63</v>
      </c>
      <c r="O27" s="3" t="s">
        <v>3</v>
      </c>
      <c r="P27" s="3">
        <v>43</v>
      </c>
      <c r="Q27" s="3" t="s">
        <v>3</v>
      </c>
      <c r="R27" s="3">
        <v>105.5</v>
      </c>
      <c r="S27" s="3" t="s">
        <v>3</v>
      </c>
      <c r="T27" s="3">
        <v>22.1</v>
      </c>
      <c r="U27" s="3" t="s">
        <v>3</v>
      </c>
      <c r="V27" s="3">
        <v>44.5</v>
      </c>
      <c r="W27" s="3" t="s">
        <v>3</v>
      </c>
      <c r="X27" s="3">
        <v>61</v>
      </c>
      <c r="Y27" s="3" t="s">
        <v>3</v>
      </c>
      <c r="Z27" s="3">
        <v>91.1</v>
      </c>
      <c r="AA27" s="3" t="s">
        <v>3</v>
      </c>
      <c r="AB27" s="3">
        <v>489.6</v>
      </c>
      <c r="AC27" s="3" t="s">
        <v>3</v>
      </c>
      <c r="AD27" s="3">
        <f t="shared" si="0"/>
        <v>26</v>
      </c>
    </row>
    <row r="28" ht="15" customHeight="1" spans="1:30">
      <c r="A28" s="3" t="s">
        <v>344</v>
      </c>
      <c r="B28" s="3" t="s">
        <v>344</v>
      </c>
      <c r="C28" s="3" t="s">
        <v>90</v>
      </c>
      <c r="D28" s="3" t="s">
        <v>54</v>
      </c>
      <c r="E28" s="3" t="s">
        <v>316</v>
      </c>
      <c r="F28" s="3" t="s">
        <v>317</v>
      </c>
      <c r="G28" s="3" t="s">
        <v>318</v>
      </c>
      <c r="H28" s="3">
        <v>100</v>
      </c>
      <c r="I28" s="3" t="s">
        <v>3</v>
      </c>
      <c r="J28" s="3">
        <v>88</v>
      </c>
      <c r="K28" s="3" t="s">
        <v>3</v>
      </c>
      <c r="L28" s="3">
        <v>64</v>
      </c>
      <c r="M28" s="3" t="s">
        <v>3</v>
      </c>
      <c r="N28" s="3">
        <v>58</v>
      </c>
      <c r="O28" s="3" t="s">
        <v>5</v>
      </c>
      <c r="P28" s="3">
        <v>46</v>
      </c>
      <c r="Q28" s="3" t="s">
        <v>2</v>
      </c>
      <c r="R28" s="3">
        <v>109.5</v>
      </c>
      <c r="S28" s="3" t="s">
        <v>3</v>
      </c>
      <c r="T28" s="3">
        <v>23.6</v>
      </c>
      <c r="U28" s="3" t="s">
        <v>3</v>
      </c>
      <c r="V28" s="3">
        <v>48</v>
      </c>
      <c r="W28" s="3" t="s">
        <v>2</v>
      </c>
      <c r="X28" s="3">
        <v>61.5</v>
      </c>
      <c r="Y28" s="3" t="s">
        <v>3</v>
      </c>
      <c r="Z28" s="3">
        <v>87.6</v>
      </c>
      <c r="AA28" s="3" t="s">
        <v>3</v>
      </c>
      <c r="AB28" s="3">
        <v>489.1</v>
      </c>
      <c r="AC28" s="3" t="s">
        <v>3</v>
      </c>
      <c r="AD28" s="3">
        <f t="shared" si="0"/>
        <v>27</v>
      </c>
    </row>
    <row r="29" ht="15" customHeight="1" spans="1:30">
      <c r="A29" s="3" t="s">
        <v>345</v>
      </c>
      <c r="B29" s="3" t="s">
        <v>345</v>
      </c>
      <c r="C29" s="3" t="s">
        <v>78</v>
      </c>
      <c r="D29" s="3" t="s">
        <v>53</v>
      </c>
      <c r="E29" s="3" t="s">
        <v>316</v>
      </c>
      <c r="F29" s="3" t="s">
        <v>317</v>
      </c>
      <c r="G29" s="3" t="s">
        <v>318</v>
      </c>
      <c r="H29" s="3">
        <v>96</v>
      </c>
      <c r="I29" s="3" t="s">
        <v>3</v>
      </c>
      <c r="J29" s="3">
        <v>89</v>
      </c>
      <c r="K29" s="3" t="s">
        <v>3</v>
      </c>
      <c r="L29" s="3">
        <v>74</v>
      </c>
      <c r="M29" s="3" t="s">
        <v>2</v>
      </c>
      <c r="N29" s="3">
        <v>65.5</v>
      </c>
      <c r="O29" s="3" t="s">
        <v>2</v>
      </c>
      <c r="P29" s="3">
        <v>38</v>
      </c>
      <c r="Q29" s="3" t="s">
        <v>5</v>
      </c>
      <c r="R29" s="3">
        <v>103</v>
      </c>
      <c r="S29" s="3" t="s">
        <v>3</v>
      </c>
      <c r="T29" s="3">
        <v>23.4</v>
      </c>
      <c r="U29" s="3" t="s">
        <v>3</v>
      </c>
      <c r="V29" s="3">
        <v>46.5</v>
      </c>
      <c r="W29" s="3" t="s">
        <v>3</v>
      </c>
      <c r="X29" s="3">
        <v>56.5</v>
      </c>
      <c r="Y29" s="3" t="s">
        <v>5</v>
      </c>
      <c r="Z29" s="3">
        <v>97.4</v>
      </c>
      <c r="AA29" s="3" t="s">
        <v>2</v>
      </c>
      <c r="AB29" s="3">
        <v>488.9</v>
      </c>
      <c r="AC29" s="3" t="s">
        <v>3</v>
      </c>
      <c r="AD29" s="3">
        <f t="shared" si="0"/>
        <v>28</v>
      </c>
    </row>
    <row r="30" ht="15" customHeight="1" spans="1:30">
      <c r="A30" s="3" t="s">
        <v>346</v>
      </c>
      <c r="B30" s="3" t="s">
        <v>346</v>
      </c>
      <c r="C30" s="3" t="s">
        <v>96</v>
      </c>
      <c r="D30" s="3" t="s">
        <v>55</v>
      </c>
      <c r="E30" s="3" t="s">
        <v>316</v>
      </c>
      <c r="F30" s="3" t="s">
        <v>317</v>
      </c>
      <c r="G30" s="3" t="s">
        <v>318</v>
      </c>
      <c r="H30" s="3">
        <v>95.5</v>
      </c>
      <c r="I30" s="3" t="s">
        <v>3</v>
      </c>
      <c r="J30" s="3">
        <v>89</v>
      </c>
      <c r="K30" s="3" t="s">
        <v>3</v>
      </c>
      <c r="L30" s="3">
        <v>72</v>
      </c>
      <c r="M30" s="3" t="s">
        <v>2</v>
      </c>
      <c r="N30" s="3">
        <v>60</v>
      </c>
      <c r="O30" s="3" t="s">
        <v>3</v>
      </c>
      <c r="P30" s="3">
        <v>42</v>
      </c>
      <c r="Q30" s="3" t="s">
        <v>3</v>
      </c>
      <c r="R30" s="3">
        <v>106</v>
      </c>
      <c r="S30" s="3" t="s">
        <v>3</v>
      </c>
      <c r="T30" s="3">
        <v>24.3</v>
      </c>
      <c r="U30" s="3" t="s">
        <v>2</v>
      </c>
      <c r="V30" s="3">
        <v>46</v>
      </c>
      <c r="W30" s="3" t="s">
        <v>3</v>
      </c>
      <c r="X30" s="3">
        <v>60</v>
      </c>
      <c r="Y30" s="3" t="s">
        <v>3</v>
      </c>
      <c r="Z30" s="3">
        <v>96.3</v>
      </c>
      <c r="AA30" s="3" t="s">
        <v>2</v>
      </c>
      <c r="AB30" s="3">
        <v>488.8</v>
      </c>
      <c r="AC30" s="3" t="s">
        <v>3</v>
      </c>
      <c r="AD30" s="3">
        <f t="shared" si="0"/>
        <v>29</v>
      </c>
    </row>
    <row r="31" ht="15" customHeight="1" spans="1:30">
      <c r="A31" s="3" t="s">
        <v>347</v>
      </c>
      <c r="B31" s="3" t="s">
        <v>347</v>
      </c>
      <c r="C31" s="3" t="s">
        <v>95</v>
      </c>
      <c r="D31" s="3" t="s">
        <v>54</v>
      </c>
      <c r="E31" s="3" t="s">
        <v>316</v>
      </c>
      <c r="F31" s="3" t="s">
        <v>317</v>
      </c>
      <c r="G31" s="3" t="s">
        <v>318</v>
      </c>
      <c r="H31" s="3">
        <v>99.5</v>
      </c>
      <c r="I31" s="3" t="s">
        <v>3</v>
      </c>
      <c r="J31" s="3">
        <v>83</v>
      </c>
      <c r="K31" s="3" t="s">
        <v>3</v>
      </c>
      <c r="L31" s="3">
        <v>69</v>
      </c>
      <c r="M31" s="3" t="s">
        <v>3</v>
      </c>
      <c r="N31" s="3">
        <v>64</v>
      </c>
      <c r="O31" s="3" t="s">
        <v>3</v>
      </c>
      <c r="P31" s="3">
        <v>45</v>
      </c>
      <c r="Q31" s="3" t="s">
        <v>3</v>
      </c>
      <c r="R31" s="3">
        <v>107</v>
      </c>
      <c r="S31" s="3" t="s">
        <v>3</v>
      </c>
      <c r="T31" s="3">
        <v>21.2</v>
      </c>
      <c r="U31" s="3" t="s">
        <v>5</v>
      </c>
      <c r="V31" s="3">
        <v>44.5</v>
      </c>
      <c r="W31" s="3" t="s">
        <v>3</v>
      </c>
      <c r="X31" s="3">
        <v>62.5</v>
      </c>
      <c r="Y31" s="3" t="s">
        <v>3</v>
      </c>
      <c r="Z31" s="3">
        <v>90.2</v>
      </c>
      <c r="AA31" s="3" t="s">
        <v>3</v>
      </c>
      <c r="AB31" s="3">
        <v>488.7</v>
      </c>
      <c r="AC31" s="3" t="s">
        <v>3</v>
      </c>
      <c r="AD31" s="3">
        <f t="shared" si="0"/>
        <v>30</v>
      </c>
    </row>
    <row r="32" ht="15" customHeight="1" spans="1:30">
      <c r="A32" s="3" t="s">
        <v>348</v>
      </c>
      <c r="B32" s="3" t="s">
        <v>348</v>
      </c>
      <c r="C32" s="3" t="s">
        <v>84</v>
      </c>
      <c r="D32" s="3" t="s">
        <v>53</v>
      </c>
      <c r="E32" s="3" t="s">
        <v>316</v>
      </c>
      <c r="F32" s="3" t="s">
        <v>317</v>
      </c>
      <c r="G32" s="3" t="s">
        <v>318</v>
      </c>
      <c r="H32" s="3">
        <v>92.5</v>
      </c>
      <c r="I32" s="3" t="s">
        <v>3</v>
      </c>
      <c r="J32" s="3">
        <v>91</v>
      </c>
      <c r="K32" s="3" t="s">
        <v>2</v>
      </c>
      <c r="L32" s="3">
        <v>67.5</v>
      </c>
      <c r="M32" s="3" t="s">
        <v>3</v>
      </c>
      <c r="N32" s="3">
        <v>63</v>
      </c>
      <c r="O32" s="3" t="s">
        <v>3</v>
      </c>
      <c r="P32" s="3">
        <v>43</v>
      </c>
      <c r="Q32" s="3" t="s">
        <v>3</v>
      </c>
      <c r="R32" s="3">
        <v>107.5</v>
      </c>
      <c r="S32" s="3" t="s">
        <v>3</v>
      </c>
      <c r="T32" s="3">
        <v>23.2</v>
      </c>
      <c r="U32" s="3" t="s">
        <v>3</v>
      </c>
      <c r="V32" s="3">
        <v>44.5</v>
      </c>
      <c r="W32" s="3" t="s">
        <v>3</v>
      </c>
      <c r="X32" s="3">
        <v>63</v>
      </c>
      <c r="Y32" s="3" t="s">
        <v>3</v>
      </c>
      <c r="Z32" s="3">
        <v>90.7</v>
      </c>
      <c r="AA32" s="3" t="s">
        <v>3</v>
      </c>
      <c r="AB32" s="3">
        <v>487.7</v>
      </c>
      <c r="AC32" s="3" t="s">
        <v>3</v>
      </c>
      <c r="AD32" s="3">
        <f t="shared" si="0"/>
        <v>31</v>
      </c>
    </row>
    <row r="33" ht="15" customHeight="1" spans="1:30">
      <c r="A33" s="3" t="s">
        <v>349</v>
      </c>
      <c r="B33" s="3" t="s">
        <v>349</v>
      </c>
      <c r="C33" s="3" t="s">
        <v>100</v>
      </c>
      <c r="D33" s="3" t="s">
        <v>54</v>
      </c>
      <c r="E33" s="3" t="s">
        <v>316</v>
      </c>
      <c r="F33" s="3" t="s">
        <v>317</v>
      </c>
      <c r="G33" s="3" t="s">
        <v>318</v>
      </c>
      <c r="H33" s="3">
        <v>96</v>
      </c>
      <c r="I33" s="3" t="s">
        <v>3</v>
      </c>
      <c r="J33" s="3">
        <v>83</v>
      </c>
      <c r="K33" s="3" t="s">
        <v>3</v>
      </c>
      <c r="L33" s="3">
        <v>73</v>
      </c>
      <c r="M33" s="3" t="s">
        <v>2</v>
      </c>
      <c r="N33" s="3">
        <v>63.5</v>
      </c>
      <c r="O33" s="3" t="s">
        <v>3</v>
      </c>
      <c r="P33" s="3">
        <v>43</v>
      </c>
      <c r="Q33" s="3" t="s">
        <v>3</v>
      </c>
      <c r="R33" s="3">
        <v>103.5</v>
      </c>
      <c r="S33" s="3" t="s">
        <v>3</v>
      </c>
      <c r="T33" s="3">
        <v>23.9</v>
      </c>
      <c r="U33" s="3" t="s">
        <v>2</v>
      </c>
      <c r="V33" s="3">
        <v>45</v>
      </c>
      <c r="W33" s="3" t="s">
        <v>3</v>
      </c>
      <c r="X33" s="3">
        <v>58.5</v>
      </c>
      <c r="Y33" s="3" t="s">
        <v>3</v>
      </c>
      <c r="Z33" s="3">
        <v>96.9</v>
      </c>
      <c r="AA33" s="3" t="s">
        <v>2</v>
      </c>
      <c r="AB33" s="3">
        <v>485.9</v>
      </c>
      <c r="AC33" s="3" t="s">
        <v>3</v>
      </c>
      <c r="AD33" s="3">
        <f t="shared" si="0"/>
        <v>32</v>
      </c>
    </row>
    <row r="34" ht="15" customHeight="1" spans="1:30">
      <c r="A34" s="3" t="s">
        <v>350</v>
      </c>
      <c r="B34" s="3" t="s">
        <v>350</v>
      </c>
      <c r="C34" s="3" t="s">
        <v>81</v>
      </c>
      <c r="D34" s="3" t="s">
        <v>56</v>
      </c>
      <c r="E34" s="3" t="s">
        <v>316</v>
      </c>
      <c r="F34" s="3" t="s">
        <v>317</v>
      </c>
      <c r="G34" s="3" t="s">
        <v>318</v>
      </c>
      <c r="H34" s="3">
        <v>105.5</v>
      </c>
      <c r="I34" s="3" t="s">
        <v>2</v>
      </c>
      <c r="J34" s="3">
        <v>87</v>
      </c>
      <c r="K34" s="3" t="s">
        <v>3</v>
      </c>
      <c r="L34" s="3">
        <v>68.5</v>
      </c>
      <c r="M34" s="3" t="s">
        <v>3</v>
      </c>
      <c r="N34" s="3">
        <v>64.5</v>
      </c>
      <c r="O34" s="3" t="s">
        <v>3</v>
      </c>
      <c r="P34" s="3">
        <v>46.5</v>
      </c>
      <c r="Q34" s="3" t="s">
        <v>2</v>
      </c>
      <c r="R34" s="3">
        <v>90.5</v>
      </c>
      <c r="S34" s="3" t="s">
        <v>5</v>
      </c>
      <c r="T34" s="3">
        <v>23.4</v>
      </c>
      <c r="U34" s="3" t="s">
        <v>3</v>
      </c>
      <c r="V34" s="3">
        <v>43</v>
      </c>
      <c r="W34" s="3" t="s">
        <v>5</v>
      </c>
      <c r="X34" s="3">
        <v>47.5</v>
      </c>
      <c r="Y34" s="3" t="s">
        <v>5</v>
      </c>
      <c r="Z34" s="3">
        <v>91.9</v>
      </c>
      <c r="AA34" s="3" t="s">
        <v>3</v>
      </c>
      <c r="AB34" s="3">
        <v>485.9</v>
      </c>
      <c r="AC34" s="3" t="s">
        <v>3</v>
      </c>
      <c r="AD34" s="3">
        <f t="shared" si="0"/>
        <v>32</v>
      </c>
    </row>
    <row r="35" ht="15" customHeight="1" spans="1:30">
      <c r="A35" s="3" t="s">
        <v>351</v>
      </c>
      <c r="B35" s="3" t="s">
        <v>351</v>
      </c>
      <c r="C35" s="3" t="s">
        <v>83</v>
      </c>
      <c r="D35" s="3" t="s">
        <v>51</v>
      </c>
      <c r="E35" s="3" t="s">
        <v>316</v>
      </c>
      <c r="F35" s="3" t="s">
        <v>317</v>
      </c>
      <c r="G35" s="3" t="s">
        <v>318</v>
      </c>
      <c r="H35" s="3">
        <v>102</v>
      </c>
      <c r="I35" s="3" t="s">
        <v>2</v>
      </c>
      <c r="J35" s="3">
        <v>85</v>
      </c>
      <c r="K35" s="3" t="s">
        <v>3</v>
      </c>
      <c r="L35" s="3">
        <v>73</v>
      </c>
      <c r="M35" s="3" t="s">
        <v>2</v>
      </c>
      <c r="N35" s="3">
        <v>60.5</v>
      </c>
      <c r="O35" s="3" t="s">
        <v>3</v>
      </c>
      <c r="P35" s="3">
        <v>40</v>
      </c>
      <c r="Q35" s="3" t="s">
        <v>5</v>
      </c>
      <c r="R35" s="3">
        <v>101.5</v>
      </c>
      <c r="S35" s="3" t="s">
        <v>3</v>
      </c>
      <c r="T35" s="3">
        <v>23.1</v>
      </c>
      <c r="U35" s="3" t="s">
        <v>3</v>
      </c>
      <c r="V35" s="3">
        <v>42.5</v>
      </c>
      <c r="W35" s="3" t="s">
        <v>5</v>
      </c>
      <c r="X35" s="3">
        <v>59</v>
      </c>
      <c r="Y35" s="3" t="s">
        <v>3</v>
      </c>
      <c r="Z35" s="3">
        <v>96.1</v>
      </c>
      <c r="AA35" s="3" t="s">
        <v>2</v>
      </c>
      <c r="AB35" s="3">
        <v>485.1</v>
      </c>
      <c r="AC35" s="3" t="s">
        <v>3</v>
      </c>
      <c r="AD35" s="3">
        <f t="shared" si="0"/>
        <v>34</v>
      </c>
    </row>
    <row r="36" ht="15" customHeight="1" spans="1:30">
      <c r="A36" s="3" t="s">
        <v>352</v>
      </c>
      <c r="B36" s="3" t="s">
        <v>352</v>
      </c>
      <c r="C36" s="3" t="s">
        <v>87</v>
      </c>
      <c r="D36" s="3" t="s">
        <v>56</v>
      </c>
      <c r="E36" s="3" t="s">
        <v>316</v>
      </c>
      <c r="F36" s="3" t="s">
        <v>317</v>
      </c>
      <c r="G36" s="3" t="s">
        <v>318</v>
      </c>
      <c r="H36" s="3">
        <v>101</v>
      </c>
      <c r="I36" s="3" t="s">
        <v>2</v>
      </c>
      <c r="J36" s="3">
        <v>94</v>
      </c>
      <c r="K36" s="3" t="s">
        <v>2</v>
      </c>
      <c r="L36" s="3">
        <v>73.5</v>
      </c>
      <c r="M36" s="3" t="s">
        <v>2</v>
      </c>
      <c r="N36" s="3">
        <v>52.5</v>
      </c>
      <c r="O36" s="3" t="s">
        <v>7</v>
      </c>
      <c r="P36" s="3">
        <v>39.5</v>
      </c>
      <c r="Q36" s="3" t="s">
        <v>5</v>
      </c>
      <c r="R36" s="3">
        <v>102</v>
      </c>
      <c r="S36" s="3" t="s">
        <v>3</v>
      </c>
      <c r="T36" s="3">
        <v>22.5</v>
      </c>
      <c r="U36" s="3" t="s">
        <v>3</v>
      </c>
      <c r="V36" s="3">
        <v>46</v>
      </c>
      <c r="W36" s="3" t="s">
        <v>3</v>
      </c>
      <c r="X36" s="3">
        <v>56</v>
      </c>
      <c r="Y36" s="3" t="s">
        <v>5</v>
      </c>
      <c r="Z36" s="3">
        <v>96</v>
      </c>
      <c r="AA36" s="3" t="s">
        <v>2</v>
      </c>
      <c r="AB36" s="3">
        <v>485</v>
      </c>
      <c r="AC36" s="3" t="s">
        <v>3</v>
      </c>
      <c r="AD36" s="3">
        <f t="shared" si="0"/>
        <v>35</v>
      </c>
    </row>
    <row r="37" ht="15" customHeight="1" spans="1:30">
      <c r="A37" s="3" t="s">
        <v>353</v>
      </c>
      <c r="B37" s="3" t="s">
        <v>353</v>
      </c>
      <c r="C37" s="3" t="s">
        <v>105</v>
      </c>
      <c r="D37" s="3" t="s">
        <v>54</v>
      </c>
      <c r="E37" s="3" t="s">
        <v>316</v>
      </c>
      <c r="F37" s="3" t="s">
        <v>317</v>
      </c>
      <c r="G37" s="3" t="s">
        <v>318</v>
      </c>
      <c r="H37" s="3">
        <v>105</v>
      </c>
      <c r="I37" s="3" t="s">
        <v>2</v>
      </c>
      <c r="J37" s="3">
        <v>87</v>
      </c>
      <c r="K37" s="3" t="s">
        <v>3</v>
      </c>
      <c r="L37" s="3">
        <v>71.5</v>
      </c>
      <c r="M37" s="3" t="s">
        <v>2</v>
      </c>
      <c r="N37" s="3">
        <v>56</v>
      </c>
      <c r="O37" s="3" t="s">
        <v>5</v>
      </c>
      <c r="P37" s="3">
        <v>43.5</v>
      </c>
      <c r="Q37" s="3" t="s">
        <v>3</v>
      </c>
      <c r="R37" s="3">
        <v>98</v>
      </c>
      <c r="S37" s="3" t="s">
        <v>5</v>
      </c>
      <c r="T37" s="3">
        <v>23.6</v>
      </c>
      <c r="U37" s="3" t="s">
        <v>3</v>
      </c>
      <c r="V37" s="3">
        <v>46.5</v>
      </c>
      <c r="W37" s="3" t="s">
        <v>3</v>
      </c>
      <c r="X37" s="3">
        <v>51.5</v>
      </c>
      <c r="Y37" s="3" t="s">
        <v>5</v>
      </c>
      <c r="Z37" s="3">
        <v>95.1</v>
      </c>
      <c r="AA37" s="3" t="s">
        <v>2</v>
      </c>
      <c r="AB37" s="3">
        <v>484.6</v>
      </c>
      <c r="AC37" s="3" t="s">
        <v>3</v>
      </c>
      <c r="AD37" s="3">
        <f t="shared" si="0"/>
        <v>36</v>
      </c>
    </row>
    <row r="38" ht="15" customHeight="1" spans="1:30">
      <c r="A38" s="3" t="s">
        <v>354</v>
      </c>
      <c r="B38" s="3" t="s">
        <v>354</v>
      </c>
      <c r="C38" s="3" t="s">
        <v>88</v>
      </c>
      <c r="D38" s="3" t="s">
        <v>51</v>
      </c>
      <c r="E38" s="3" t="s">
        <v>316</v>
      </c>
      <c r="F38" s="3" t="s">
        <v>317</v>
      </c>
      <c r="G38" s="3" t="s">
        <v>318</v>
      </c>
      <c r="H38" s="3">
        <v>98.5</v>
      </c>
      <c r="I38" s="3" t="s">
        <v>3</v>
      </c>
      <c r="J38" s="3">
        <v>84</v>
      </c>
      <c r="K38" s="3" t="s">
        <v>3</v>
      </c>
      <c r="L38" s="3">
        <v>71</v>
      </c>
      <c r="M38" s="3" t="s">
        <v>2</v>
      </c>
      <c r="N38" s="3">
        <v>62</v>
      </c>
      <c r="O38" s="3" t="s">
        <v>3</v>
      </c>
      <c r="P38" s="3">
        <v>46.5</v>
      </c>
      <c r="Q38" s="3" t="s">
        <v>2</v>
      </c>
      <c r="R38" s="3">
        <v>99.5</v>
      </c>
      <c r="S38" s="3" t="s">
        <v>5</v>
      </c>
      <c r="T38" s="3">
        <v>22.8</v>
      </c>
      <c r="U38" s="3" t="s">
        <v>3</v>
      </c>
      <c r="V38" s="3">
        <v>43.5</v>
      </c>
      <c r="W38" s="3" t="s">
        <v>5</v>
      </c>
      <c r="X38" s="3">
        <v>56</v>
      </c>
      <c r="Y38" s="3" t="s">
        <v>5</v>
      </c>
      <c r="Z38" s="3">
        <v>93.8</v>
      </c>
      <c r="AA38" s="3" t="s">
        <v>3</v>
      </c>
      <c r="AB38" s="3">
        <v>484.3</v>
      </c>
      <c r="AC38" s="3" t="s">
        <v>3</v>
      </c>
      <c r="AD38" s="3">
        <f t="shared" si="0"/>
        <v>37</v>
      </c>
    </row>
    <row r="39" ht="15" customHeight="1" spans="1:30">
      <c r="A39" s="3" t="s">
        <v>355</v>
      </c>
      <c r="B39" s="3" t="s">
        <v>355</v>
      </c>
      <c r="C39" s="3" t="s">
        <v>89</v>
      </c>
      <c r="D39" s="3" t="s">
        <v>53</v>
      </c>
      <c r="E39" s="3" t="s">
        <v>316</v>
      </c>
      <c r="F39" s="3" t="s">
        <v>317</v>
      </c>
      <c r="G39" s="3" t="s">
        <v>318</v>
      </c>
      <c r="H39" s="3">
        <v>100</v>
      </c>
      <c r="I39" s="3" t="s">
        <v>3</v>
      </c>
      <c r="J39" s="3">
        <v>89</v>
      </c>
      <c r="K39" s="3" t="s">
        <v>3</v>
      </c>
      <c r="L39" s="3">
        <v>68.5</v>
      </c>
      <c r="M39" s="3" t="s">
        <v>3</v>
      </c>
      <c r="N39" s="3">
        <v>61</v>
      </c>
      <c r="O39" s="3" t="s">
        <v>3</v>
      </c>
      <c r="P39" s="3">
        <v>43.5</v>
      </c>
      <c r="Q39" s="3" t="s">
        <v>3</v>
      </c>
      <c r="R39" s="3">
        <v>100</v>
      </c>
      <c r="S39" s="3" t="s">
        <v>5</v>
      </c>
      <c r="T39" s="3">
        <v>21.3</v>
      </c>
      <c r="U39" s="3" t="s">
        <v>5</v>
      </c>
      <c r="V39" s="3">
        <v>44.5</v>
      </c>
      <c r="W39" s="3" t="s">
        <v>3</v>
      </c>
      <c r="X39" s="3">
        <v>55.5</v>
      </c>
      <c r="Y39" s="3" t="s">
        <v>5</v>
      </c>
      <c r="Z39" s="3">
        <v>89.8</v>
      </c>
      <c r="AA39" s="3" t="s">
        <v>3</v>
      </c>
      <c r="AB39" s="3">
        <v>483.3</v>
      </c>
      <c r="AC39" s="3" t="s">
        <v>3</v>
      </c>
      <c r="AD39" s="3">
        <f t="shared" si="0"/>
        <v>38</v>
      </c>
    </row>
    <row r="40" ht="15" customHeight="1" spans="1:30">
      <c r="A40" s="3" t="s">
        <v>356</v>
      </c>
      <c r="B40" s="3" t="s">
        <v>356</v>
      </c>
      <c r="C40" s="3" t="s">
        <v>93</v>
      </c>
      <c r="D40" s="3" t="s">
        <v>51</v>
      </c>
      <c r="E40" s="3" t="s">
        <v>316</v>
      </c>
      <c r="F40" s="3" t="s">
        <v>317</v>
      </c>
      <c r="G40" s="3" t="s">
        <v>318</v>
      </c>
      <c r="H40" s="3">
        <v>92</v>
      </c>
      <c r="I40" s="3" t="s">
        <v>5</v>
      </c>
      <c r="J40" s="3">
        <v>89</v>
      </c>
      <c r="K40" s="3" t="s">
        <v>3</v>
      </c>
      <c r="L40" s="3">
        <v>69.5</v>
      </c>
      <c r="M40" s="3" t="s">
        <v>3</v>
      </c>
      <c r="N40" s="3">
        <v>60.5</v>
      </c>
      <c r="O40" s="3" t="s">
        <v>3</v>
      </c>
      <c r="P40" s="3">
        <v>41</v>
      </c>
      <c r="Q40" s="3" t="s">
        <v>5</v>
      </c>
      <c r="R40" s="3">
        <v>109</v>
      </c>
      <c r="S40" s="3" t="s">
        <v>3</v>
      </c>
      <c r="T40" s="3">
        <v>22</v>
      </c>
      <c r="U40" s="3" t="s">
        <v>3</v>
      </c>
      <c r="V40" s="3">
        <v>48</v>
      </c>
      <c r="W40" s="3" t="s">
        <v>2</v>
      </c>
      <c r="X40" s="3">
        <v>61</v>
      </c>
      <c r="Y40" s="3" t="s">
        <v>3</v>
      </c>
      <c r="Z40" s="3">
        <v>91.5</v>
      </c>
      <c r="AA40" s="3" t="s">
        <v>3</v>
      </c>
      <c r="AB40" s="3">
        <v>483</v>
      </c>
      <c r="AC40" s="3" t="s">
        <v>3</v>
      </c>
      <c r="AD40" s="3">
        <f t="shared" si="0"/>
        <v>39</v>
      </c>
    </row>
    <row r="41" ht="15" customHeight="1" spans="1:30">
      <c r="A41" s="3" t="s">
        <v>357</v>
      </c>
      <c r="B41" s="3" t="s">
        <v>357</v>
      </c>
      <c r="C41" s="3" t="s">
        <v>101</v>
      </c>
      <c r="D41" s="3" t="s">
        <v>55</v>
      </c>
      <c r="E41" s="3" t="s">
        <v>316</v>
      </c>
      <c r="F41" s="3" t="s">
        <v>317</v>
      </c>
      <c r="G41" s="3" t="s">
        <v>318</v>
      </c>
      <c r="H41" s="3">
        <v>95</v>
      </c>
      <c r="I41" s="3" t="s">
        <v>3</v>
      </c>
      <c r="J41" s="3">
        <v>90</v>
      </c>
      <c r="K41" s="3" t="s">
        <v>3</v>
      </c>
      <c r="L41" s="3">
        <v>69.5</v>
      </c>
      <c r="M41" s="3" t="s">
        <v>3</v>
      </c>
      <c r="N41" s="3">
        <v>60</v>
      </c>
      <c r="O41" s="3" t="s">
        <v>3</v>
      </c>
      <c r="P41" s="3">
        <v>40.5</v>
      </c>
      <c r="Q41" s="3" t="s">
        <v>5</v>
      </c>
      <c r="R41" s="3">
        <v>105</v>
      </c>
      <c r="S41" s="3" t="s">
        <v>3</v>
      </c>
      <c r="T41" s="3">
        <v>22.7</v>
      </c>
      <c r="U41" s="3" t="s">
        <v>3</v>
      </c>
      <c r="V41" s="3">
        <v>45.5</v>
      </c>
      <c r="W41" s="3" t="s">
        <v>3</v>
      </c>
      <c r="X41" s="3">
        <v>59.5</v>
      </c>
      <c r="Y41" s="3" t="s">
        <v>3</v>
      </c>
      <c r="Z41" s="3">
        <v>92.2</v>
      </c>
      <c r="AA41" s="3" t="s">
        <v>3</v>
      </c>
      <c r="AB41" s="3">
        <v>482.7</v>
      </c>
      <c r="AC41" s="3" t="s">
        <v>3</v>
      </c>
      <c r="AD41" s="3">
        <f t="shared" si="0"/>
        <v>40</v>
      </c>
    </row>
    <row r="42" ht="15" customHeight="1" spans="1:30">
      <c r="A42" s="3" t="s">
        <v>358</v>
      </c>
      <c r="B42" s="3" t="s">
        <v>358</v>
      </c>
      <c r="C42" s="3" t="s">
        <v>106</v>
      </c>
      <c r="D42" s="3" t="s">
        <v>55</v>
      </c>
      <c r="E42" s="3" t="s">
        <v>316</v>
      </c>
      <c r="F42" s="3" t="s">
        <v>317</v>
      </c>
      <c r="G42" s="3" t="s">
        <v>318</v>
      </c>
      <c r="H42" s="3">
        <v>92</v>
      </c>
      <c r="I42" s="3" t="s">
        <v>5</v>
      </c>
      <c r="J42" s="3">
        <v>87</v>
      </c>
      <c r="K42" s="3" t="s">
        <v>3</v>
      </c>
      <c r="L42" s="3">
        <v>71.5</v>
      </c>
      <c r="M42" s="3" t="s">
        <v>2</v>
      </c>
      <c r="N42" s="3">
        <v>64</v>
      </c>
      <c r="O42" s="3" t="s">
        <v>3</v>
      </c>
      <c r="P42" s="3">
        <v>38</v>
      </c>
      <c r="Q42" s="3" t="s">
        <v>5</v>
      </c>
      <c r="R42" s="3">
        <v>109</v>
      </c>
      <c r="S42" s="3" t="s">
        <v>3</v>
      </c>
      <c r="T42" s="3">
        <v>21</v>
      </c>
      <c r="U42" s="3" t="s">
        <v>5</v>
      </c>
      <c r="V42" s="3">
        <v>46.5</v>
      </c>
      <c r="W42" s="3" t="s">
        <v>3</v>
      </c>
      <c r="X42" s="3">
        <v>62.5</v>
      </c>
      <c r="Y42" s="3" t="s">
        <v>3</v>
      </c>
      <c r="Z42" s="3">
        <v>92.5</v>
      </c>
      <c r="AA42" s="3" t="s">
        <v>3</v>
      </c>
      <c r="AB42" s="3">
        <v>482.5</v>
      </c>
      <c r="AC42" s="3" t="s">
        <v>3</v>
      </c>
      <c r="AD42" s="3">
        <f t="shared" si="0"/>
        <v>41</v>
      </c>
    </row>
    <row r="43" ht="15" customHeight="1" spans="1:30">
      <c r="A43" s="3" t="s">
        <v>359</v>
      </c>
      <c r="B43" s="3" t="s">
        <v>359</v>
      </c>
      <c r="C43" s="3" t="s">
        <v>92</v>
      </c>
      <c r="D43" s="3" t="s">
        <v>56</v>
      </c>
      <c r="E43" s="3" t="s">
        <v>316</v>
      </c>
      <c r="F43" s="3" t="s">
        <v>317</v>
      </c>
      <c r="G43" s="3" t="s">
        <v>318</v>
      </c>
      <c r="H43" s="3">
        <v>96.5</v>
      </c>
      <c r="I43" s="3" t="s">
        <v>3</v>
      </c>
      <c r="J43" s="3">
        <v>89</v>
      </c>
      <c r="K43" s="3" t="s">
        <v>3</v>
      </c>
      <c r="L43" s="3">
        <v>70</v>
      </c>
      <c r="M43" s="3" t="s">
        <v>3</v>
      </c>
      <c r="N43" s="3">
        <v>60</v>
      </c>
      <c r="O43" s="3" t="s">
        <v>3</v>
      </c>
      <c r="P43" s="3">
        <v>41</v>
      </c>
      <c r="Q43" s="3" t="s">
        <v>5</v>
      </c>
      <c r="R43" s="3">
        <v>104</v>
      </c>
      <c r="S43" s="3" t="s">
        <v>3</v>
      </c>
      <c r="T43" s="3">
        <v>20.2</v>
      </c>
      <c r="U43" s="3" t="s">
        <v>5</v>
      </c>
      <c r="V43" s="3">
        <v>45</v>
      </c>
      <c r="W43" s="3" t="s">
        <v>3</v>
      </c>
      <c r="X43" s="3">
        <v>59</v>
      </c>
      <c r="Y43" s="3" t="s">
        <v>3</v>
      </c>
      <c r="Z43" s="3">
        <v>90.2</v>
      </c>
      <c r="AA43" s="3" t="s">
        <v>3</v>
      </c>
      <c r="AB43" s="3">
        <v>480.7</v>
      </c>
      <c r="AC43" s="3" t="s">
        <v>3</v>
      </c>
      <c r="AD43" s="3">
        <f t="shared" si="0"/>
        <v>42</v>
      </c>
    </row>
    <row r="44" ht="15" customHeight="1" spans="1:30">
      <c r="A44" s="3" t="s">
        <v>360</v>
      </c>
      <c r="B44" s="3" t="s">
        <v>360</v>
      </c>
      <c r="C44" s="3" t="s">
        <v>110</v>
      </c>
      <c r="D44" s="3" t="s">
        <v>54</v>
      </c>
      <c r="E44" s="3" t="s">
        <v>316</v>
      </c>
      <c r="F44" s="3" t="s">
        <v>317</v>
      </c>
      <c r="G44" s="3" t="s">
        <v>318</v>
      </c>
      <c r="H44" s="3">
        <v>95</v>
      </c>
      <c r="I44" s="3" t="s">
        <v>3</v>
      </c>
      <c r="J44" s="3">
        <v>84</v>
      </c>
      <c r="K44" s="3" t="s">
        <v>3</v>
      </c>
      <c r="L44" s="3">
        <v>65.5</v>
      </c>
      <c r="M44" s="3" t="s">
        <v>3</v>
      </c>
      <c r="N44" s="3">
        <v>60.5</v>
      </c>
      <c r="O44" s="3" t="s">
        <v>3</v>
      </c>
      <c r="P44" s="3">
        <v>46.5</v>
      </c>
      <c r="Q44" s="3" t="s">
        <v>2</v>
      </c>
      <c r="R44" s="3">
        <v>107</v>
      </c>
      <c r="S44" s="3" t="s">
        <v>3</v>
      </c>
      <c r="T44" s="3">
        <v>21.4</v>
      </c>
      <c r="U44" s="3" t="s">
        <v>5</v>
      </c>
      <c r="V44" s="3">
        <v>41.5</v>
      </c>
      <c r="W44" s="3" t="s">
        <v>5</v>
      </c>
      <c r="X44" s="3">
        <v>65.5</v>
      </c>
      <c r="Y44" s="3" t="s">
        <v>2</v>
      </c>
      <c r="Z44" s="3">
        <v>86.9</v>
      </c>
      <c r="AA44" s="3" t="s">
        <v>3</v>
      </c>
      <c r="AB44" s="3">
        <v>479.9</v>
      </c>
      <c r="AC44" s="3" t="s">
        <v>3</v>
      </c>
      <c r="AD44" s="3">
        <f t="shared" si="0"/>
        <v>43</v>
      </c>
    </row>
    <row r="45" ht="15" customHeight="1" spans="1:30">
      <c r="A45" s="3" t="s">
        <v>361</v>
      </c>
      <c r="B45" s="3" t="s">
        <v>361</v>
      </c>
      <c r="C45" s="3" t="s">
        <v>111</v>
      </c>
      <c r="D45" s="3" t="s">
        <v>55</v>
      </c>
      <c r="E45" s="3" t="s">
        <v>316</v>
      </c>
      <c r="F45" s="3" t="s">
        <v>317</v>
      </c>
      <c r="G45" s="3" t="s">
        <v>318</v>
      </c>
      <c r="H45" s="3">
        <v>96</v>
      </c>
      <c r="I45" s="3" t="s">
        <v>3</v>
      </c>
      <c r="J45" s="3">
        <v>92</v>
      </c>
      <c r="K45" s="3" t="s">
        <v>2</v>
      </c>
      <c r="L45" s="3">
        <v>66</v>
      </c>
      <c r="M45" s="3" t="s">
        <v>3</v>
      </c>
      <c r="N45" s="3">
        <v>63</v>
      </c>
      <c r="O45" s="3" t="s">
        <v>3</v>
      </c>
      <c r="P45" s="3">
        <v>44.5</v>
      </c>
      <c r="Q45" s="3" t="s">
        <v>3</v>
      </c>
      <c r="R45" s="3">
        <v>99</v>
      </c>
      <c r="S45" s="3" t="s">
        <v>5</v>
      </c>
      <c r="T45" s="3">
        <v>19</v>
      </c>
      <c r="U45" s="3" t="s">
        <v>5</v>
      </c>
      <c r="V45" s="3">
        <v>41.5</v>
      </c>
      <c r="W45" s="3" t="s">
        <v>5</v>
      </c>
      <c r="X45" s="3">
        <v>57.5</v>
      </c>
      <c r="Y45" s="3" t="s">
        <v>3</v>
      </c>
      <c r="Z45" s="3">
        <v>85</v>
      </c>
      <c r="AA45" s="3" t="s">
        <v>5</v>
      </c>
      <c r="AB45" s="3">
        <v>479.5</v>
      </c>
      <c r="AC45" s="3" t="s">
        <v>3</v>
      </c>
      <c r="AD45" s="3">
        <f t="shared" si="0"/>
        <v>44</v>
      </c>
    </row>
    <row r="46" ht="15" customHeight="1" spans="1:30">
      <c r="A46" s="3" t="s">
        <v>362</v>
      </c>
      <c r="B46" s="3" t="s">
        <v>362</v>
      </c>
      <c r="C46" s="3" t="s">
        <v>115</v>
      </c>
      <c r="D46" s="3" t="s">
        <v>54</v>
      </c>
      <c r="E46" s="3" t="s">
        <v>316</v>
      </c>
      <c r="F46" s="3" t="s">
        <v>317</v>
      </c>
      <c r="G46" s="3" t="s">
        <v>318</v>
      </c>
      <c r="H46" s="3">
        <v>94</v>
      </c>
      <c r="I46" s="3" t="s">
        <v>3</v>
      </c>
      <c r="J46" s="3">
        <v>87</v>
      </c>
      <c r="K46" s="3" t="s">
        <v>3</v>
      </c>
      <c r="L46" s="3">
        <v>68.5</v>
      </c>
      <c r="M46" s="3" t="s">
        <v>3</v>
      </c>
      <c r="N46" s="3">
        <v>63.5</v>
      </c>
      <c r="O46" s="3" t="s">
        <v>3</v>
      </c>
      <c r="P46" s="3">
        <v>36</v>
      </c>
      <c r="Q46" s="3" t="s">
        <v>7</v>
      </c>
      <c r="R46" s="3">
        <v>107.5</v>
      </c>
      <c r="S46" s="3" t="s">
        <v>3</v>
      </c>
      <c r="T46" s="3">
        <v>22.9</v>
      </c>
      <c r="U46" s="3" t="s">
        <v>3</v>
      </c>
      <c r="V46" s="3">
        <v>47</v>
      </c>
      <c r="W46" s="3" t="s">
        <v>3</v>
      </c>
      <c r="X46" s="3">
        <v>60.5</v>
      </c>
      <c r="Y46" s="3" t="s">
        <v>3</v>
      </c>
      <c r="Z46" s="3">
        <v>91.4</v>
      </c>
      <c r="AA46" s="3" t="s">
        <v>3</v>
      </c>
      <c r="AB46" s="3">
        <v>479.4</v>
      </c>
      <c r="AC46" s="3" t="s">
        <v>3</v>
      </c>
      <c r="AD46" s="3">
        <f t="shared" si="0"/>
        <v>45</v>
      </c>
    </row>
    <row r="47" ht="15" customHeight="1" spans="1:30">
      <c r="A47" s="3" t="s">
        <v>363</v>
      </c>
      <c r="B47" s="3" t="s">
        <v>363</v>
      </c>
      <c r="C47" s="3" t="s">
        <v>116</v>
      </c>
      <c r="D47" s="3" t="s">
        <v>55</v>
      </c>
      <c r="E47" s="3" t="s">
        <v>316</v>
      </c>
      <c r="F47" s="3" t="s">
        <v>317</v>
      </c>
      <c r="G47" s="3" t="s">
        <v>318</v>
      </c>
      <c r="H47" s="3">
        <v>92.5</v>
      </c>
      <c r="I47" s="3" t="s">
        <v>3</v>
      </c>
      <c r="J47" s="3">
        <v>85</v>
      </c>
      <c r="K47" s="3" t="s">
        <v>3</v>
      </c>
      <c r="L47" s="3">
        <v>72</v>
      </c>
      <c r="M47" s="3" t="s">
        <v>2</v>
      </c>
      <c r="N47" s="3">
        <v>57.5</v>
      </c>
      <c r="O47" s="3" t="s">
        <v>5</v>
      </c>
      <c r="P47" s="3">
        <v>41.5</v>
      </c>
      <c r="Q47" s="3" t="s">
        <v>3</v>
      </c>
      <c r="R47" s="3">
        <v>107</v>
      </c>
      <c r="S47" s="3" t="s">
        <v>3</v>
      </c>
      <c r="T47" s="3">
        <v>23.9</v>
      </c>
      <c r="U47" s="3" t="s">
        <v>2</v>
      </c>
      <c r="V47" s="3">
        <v>48.5</v>
      </c>
      <c r="W47" s="3" t="s">
        <v>2</v>
      </c>
      <c r="X47" s="3">
        <v>58.5</v>
      </c>
      <c r="Y47" s="3" t="s">
        <v>3</v>
      </c>
      <c r="Z47" s="3">
        <v>95.9</v>
      </c>
      <c r="AA47" s="3" t="s">
        <v>2</v>
      </c>
      <c r="AB47" s="3">
        <v>479.4</v>
      </c>
      <c r="AC47" s="3" t="s">
        <v>3</v>
      </c>
      <c r="AD47" s="3">
        <f t="shared" si="0"/>
        <v>45</v>
      </c>
    </row>
    <row r="48" ht="15" customHeight="1" spans="1:30">
      <c r="A48" s="3" t="s">
        <v>364</v>
      </c>
      <c r="B48" s="3" t="s">
        <v>364</v>
      </c>
      <c r="C48" s="3" t="s">
        <v>120</v>
      </c>
      <c r="D48" s="3" t="s">
        <v>54</v>
      </c>
      <c r="E48" s="3" t="s">
        <v>316</v>
      </c>
      <c r="F48" s="3" t="s">
        <v>317</v>
      </c>
      <c r="G48" s="3" t="s">
        <v>318</v>
      </c>
      <c r="H48" s="3">
        <v>97</v>
      </c>
      <c r="I48" s="3" t="s">
        <v>3</v>
      </c>
      <c r="J48" s="3">
        <v>80</v>
      </c>
      <c r="K48" s="3" t="s">
        <v>5</v>
      </c>
      <c r="L48" s="3">
        <v>74</v>
      </c>
      <c r="M48" s="3" t="s">
        <v>2</v>
      </c>
      <c r="N48" s="3">
        <v>64.5</v>
      </c>
      <c r="O48" s="3" t="s">
        <v>3</v>
      </c>
      <c r="P48" s="3">
        <v>46</v>
      </c>
      <c r="Q48" s="3" t="s">
        <v>2</v>
      </c>
      <c r="R48" s="3">
        <v>93</v>
      </c>
      <c r="S48" s="3" t="s">
        <v>5</v>
      </c>
      <c r="T48" s="3">
        <v>24.2</v>
      </c>
      <c r="U48" s="3" t="s">
        <v>2</v>
      </c>
      <c r="V48" s="3">
        <v>39.5</v>
      </c>
      <c r="W48" s="3" t="s">
        <v>5</v>
      </c>
      <c r="X48" s="3">
        <v>53.5</v>
      </c>
      <c r="Y48" s="3" t="s">
        <v>5</v>
      </c>
      <c r="Z48" s="3">
        <v>98.2</v>
      </c>
      <c r="AA48" s="3" t="s">
        <v>2</v>
      </c>
      <c r="AB48" s="3">
        <v>478.7</v>
      </c>
      <c r="AC48" s="3" t="s">
        <v>3</v>
      </c>
      <c r="AD48" s="3">
        <f t="shared" si="0"/>
        <v>47</v>
      </c>
    </row>
    <row r="49" ht="15" customHeight="1" spans="1:30">
      <c r="A49" s="3" t="s">
        <v>365</v>
      </c>
      <c r="B49" s="3" t="s">
        <v>365</v>
      </c>
      <c r="C49" s="3" t="s">
        <v>94</v>
      </c>
      <c r="D49" s="3" t="s">
        <v>53</v>
      </c>
      <c r="E49" s="3" t="s">
        <v>316</v>
      </c>
      <c r="F49" s="3" t="s">
        <v>317</v>
      </c>
      <c r="G49" s="3" t="s">
        <v>318</v>
      </c>
      <c r="H49" s="3">
        <v>96</v>
      </c>
      <c r="I49" s="3" t="s">
        <v>3</v>
      </c>
      <c r="J49" s="3">
        <v>89</v>
      </c>
      <c r="K49" s="3" t="s">
        <v>3</v>
      </c>
      <c r="L49" s="3">
        <v>68</v>
      </c>
      <c r="M49" s="3" t="s">
        <v>3</v>
      </c>
      <c r="N49" s="3">
        <v>58</v>
      </c>
      <c r="O49" s="3" t="s">
        <v>5</v>
      </c>
      <c r="P49" s="3">
        <v>40</v>
      </c>
      <c r="Q49" s="3" t="s">
        <v>5</v>
      </c>
      <c r="R49" s="3">
        <v>103</v>
      </c>
      <c r="S49" s="3" t="s">
        <v>3</v>
      </c>
      <c r="T49" s="3">
        <v>24.3</v>
      </c>
      <c r="U49" s="3" t="s">
        <v>2</v>
      </c>
      <c r="V49" s="3">
        <v>44.5</v>
      </c>
      <c r="W49" s="3" t="s">
        <v>3</v>
      </c>
      <c r="X49" s="3">
        <v>58.5</v>
      </c>
      <c r="Y49" s="3" t="s">
        <v>3</v>
      </c>
      <c r="Z49" s="3">
        <v>92.3</v>
      </c>
      <c r="AA49" s="3" t="s">
        <v>3</v>
      </c>
      <c r="AB49" s="3">
        <v>478.3</v>
      </c>
      <c r="AC49" s="3" t="s">
        <v>3</v>
      </c>
      <c r="AD49" s="3">
        <f t="shared" si="0"/>
        <v>48</v>
      </c>
    </row>
    <row r="50" ht="15" customHeight="1" spans="1:30">
      <c r="A50" s="3" t="s">
        <v>366</v>
      </c>
      <c r="B50" s="3" t="s">
        <v>366</v>
      </c>
      <c r="C50" s="3" t="s">
        <v>99</v>
      </c>
      <c r="D50" s="3" t="s">
        <v>53</v>
      </c>
      <c r="E50" s="3" t="s">
        <v>316</v>
      </c>
      <c r="F50" s="3" t="s">
        <v>317</v>
      </c>
      <c r="G50" s="3" t="s">
        <v>318</v>
      </c>
      <c r="H50" s="3">
        <v>100.5</v>
      </c>
      <c r="I50" s="3" t="s">
        <v>2</v>
      </c>
      <c r="J50" s="3">
        <v>82</v>
      </c>
      <c r="K50" s="3" t="s">
        <v>5</v>
      </c>
      <c r="L50" s="3">
        <v>65</v>
      </c>
      <c r="M50" s="3" t="s">
        <v>3</v>
      </c>
      <c r="N50" s="3">
        <v>57.5</v>
      </c>
      <c r="O50" s="3" t="s">
        <v>5</v>
      </c>
      <c r="P50" s="3">
        <v>46</v>
      </c>
      <c r="Q50" s="3" t="s">
        <v>2</v>
      </c>
      <c r="R50" s="3">
        <v>103.5</v>
      </c>
      <c r="S50" s="3" t="s">
        <v>3</v>
      </c>
      <c r="T50" s="3">
        <v>23.3</v>
      </c>
      <c r="U50" s="3" t="s">
        <v>3</v>
      </c>
      <c r="V50" s="3">
        <v>45.5</v>
      </c>
      <c r="W50" s="3" t="s">
        <v>3</v>
      </c>
      <c r="X50" s="3">
        <v>58</v>
      </c>
      <c r="Y50" s="3" t="s">
        <v>3</v>
      </c>
      <c r="Z50" s="3">
        <v>88.3</v>
      </c>
      <c r="AA50" s="3" t="s">
        <v>3</v>
      </c>
      <c r="AB50" s="3">
        <v>477.8</v>
      </c>
      <c r="AC50" s="3" t="s">
        <v>3</v>
      </c>
      <c r="AD50" s="3">
        <f t="shared" si="0"/>
        <v>49</v>
      </c>
    </row>
    <row r="51" ht="15" customHeight="1" spans="1:30">
      <c r="A51" s="3" t="s">
        <v>367</v>
      </c>
      <c r="B51" s="3" t="s">
        <v>367</v>
      </c>
      <c r="C51" s="3" t="s">
        <v>98</v>
      </c>
      <c r="D51" s="3" t="s">
        <v>51</v>
      </c>
      <c r="E51" s="3" t="s">
        <v>316</v>
      </c>
      <c r="F51" s="3" t="s">
        <v>317</v>
      </c>
      <c r="G51" s="3" t="s">
        <v>318</v>
      </c>
      <c r="H51" s="3">
        <v>99</v>
      </c>
      <c r="I51" s="3" t="s">
        <v>3</v>
      </c>
      <c r="J51" s="3">
        <v>87</v>
      </c>
      <c r="K51" s="3" t="s">
        <v>3</v>
      </c>
      <c r="L51" s="3">
        <v>62.5</v>
      </c>
      <c r="M51" s="3" t="s">
        <v>5</v>
      </c>
      <c r="N51" s="3">
        <v>69</v>
      </c>
      <c r="O51" s="3" t="s">
        <v>2</v>
      </c>
      <c r="P51" s="3">
        <v>43</v>
      </c>
      <c r="Q51" s="3" t="s">
        <v>3</v>
      </c>
      <c r="R51" s="3">
        <v>95</v>
      </c>
      <c r="S51" s="3" t="s">
        <v>5</v>
      </c>
      <c r="T51" s="3">
        <v>21.2</v>
      </c>
      <c r="U51" s="3" t="s">
        <v>5</v>
      </c>
      <c r="V51" s="3">
        <v>39</v>
      </c>
      <c r="W51" s="3" t="s">
        <v>5</v>
      </c>
      <c r="X51" s="3">
        <v>56</v>
      </c>
      <c r="Y51" s="3" t="s">
        <v>5</v>
      </c>
      <c r="Z51" s="3">
        <v>83.7</v>
      </c>
      <c r="AA51" s="3" t="s">
        <v>5</v>
      </c>
      <c r="AB51" s="3">
        <v>476.7</v>
      </c>
      <c r="AC51" s="3" t="s">
        <v>3</v>
      </c>
      <c r="AD51" s="3">
        <f t="shared" si="0"/>
        <v>50</v>
      </c>
    </row>
    <row r="52" ht="15" customHeight="1" spans="1:30">
      <c r="A52" s="3" t="s">
        <v>368</v>
      </c>
      <c r="B52" s="3" t="s">
        <v>368</v>
      </c>
      <c r="C52" s="3" t="s">
        <v>97</v>
      </c>
      <c r="D52" s="3" t="s">
        <v>56</v>
      </c>
      <c r="E52" s="3" t="s">
        <v>316</v>
      </c>
      <c r="F52" s="3" t="s">
        <v>317</v>
      </c>
      <c r="G52" s="3" t="s">
        <v>318</v>
      </c>
      <c r="H52" s="3">
        <v>96.5</v>
      </c>
      <c r="I52" s="3" t="s">
        <v>3</v>
      </c>
      <c r="J52" s="3">
        <v>84</v>
      </c>
      <c r="K52" s="3" t="s">
        <v>3</v>
      </c>
      <c r="L52" s="3">
        <v>70</v>
      </c>
      <c r="M52" s="3" t="s">
        <v>3</v>
      </c>
      <c r="N52" s="3">
        <v>57.5</v>
      </c>
      <c r="O52" s="3" t="s">
        <v>5</v>
      </c>
      <c r="P52" s="3">
        <v>39.5</v>
      </c>
      <c r="Q52" s="3" t="s">
        <v>5</v>
      </c>
      <c r="R52" s="3">
        <v>105.5</v>
      </c>
      <c r="S52" s="3" t="s">
        <v>3</v>
      </c>
      <c r="T52" s="3">
        <v>23.7</v>
      </c>
      <c r="U52" s="3" t="s">
        <v>3</v>
      </c>
      <c r="V52" s="3">
        <v>46.5</v>
      </c>
      <c r="W52" s="3" t="s">
        <v>3</v>
      </c>
      <c r="X52" s="3">
        <v>59</v>
      </c>
      <c r="Y52" s="3" t="s">
        <v>3</v>
      </c>
      <c r="Z52" s="3">
        <v>93.7</v>
      </c>
      <c r="AA52" s="3" t="s">
        <v>3</v>
      </c>
      <c r="AB52" s="3">
        <v>476.7</v>
      </c>
      <c r="AC52" s="3" t="s">
        <v>3</v>
      </c>
      <c r="AD52" s="3">
        <f t="shared" si="0"/>
        <v>50</v>
      </c>
    </row>
    <row r="53" ht="15" customHeight="1" spans="1:30">
      <c r="A53" s="3" t="s">
        <v>369</v>
      </c>
      <c r="B53" s="3" t="s">
        <v>369</v>
      </c>
      <c r="C53" s="3" t="s">
        <v>125</v>
      </c>
      <c r="D53" s="3" t="s">
        <v>54</v>
      </c>
      <c r="E53" s="3" t="s">
        <v>316</v>
      </c>
      <c r="F53" s="3" t="s">
        <v>317</v>
      </c>
      <c r="G53" s="3" t="s">
        <v>318</v>
      </c>
      <c r="H53" s="3">
        <v>93.5</v>
      </c>
      <c r="I53" s="3" t="s">
        <v>3</v>
      </c>
      <c r="J53" s="3">
        <v>86</v>
      </c>
      <c r="K53" s="3" t="s">
        <v>3</v>
      </c>
      <c r="L53" s="3">
        <v>67.5</v>
      </c>
      <c r="M53" s="3" t="s">
        <v>3</v>
      </c>
      <c r="N53" s="3">
        <v>60</v>
      </c>
      <c r="O53" s="3" t="s">
        <v>3</v>
      </c>
      <c r="P53" s="3">
        <v>41</v>
      </c>
      <c r="Q53" s="3" t="s">
        <v>5</v>
      </c>
      <c r="R53" s="3">
        <v>104.5</v>
      </c>
      <c r="S53" s="3" t="s">
        <v>3</v>
      </c>
      <c r="T53" s="3">
        <v>22.8</v>
      </c>
      <c r="U53" s="3" t="s">
        <v>3</v>
      </c>
      <c r="V53" s="3">
        <v>47</v>
      </c>
      <c r="W53" s="3" t="s">
        <v>3</v>
      </c>
      <c r="X53" s="3">
        <v>57.5</v>
      </c>
      <c r="Y53" s="3" t="s">
        <v>3</v>
      </c>
      <c r="Z53" s="3">
        <v>90.3</v>
      </c>
      <c r="AA53" s="3" t="s">
        <v>3</v>
      </c>
      <c r="AB53" s="3">
        <v>475.3</v>
      </c>
      <c r="AC53" s="3" t="s">
        <v>3</v>
      </c>
      <c r="AD53" s="3">
        <f t="shared" si="0"/>
        <v>52</v>
      </c>
    </row>
    <row r="54" ht="15" customHeight="1" spans="1:30">
      <c r="A54" s="3" t="s">
        <v>370</v>
      </c>
      <c r="B54" s="3" t="s">
        <v>370</v>
      </c>
      <c r="C54" s="3" t="s">
        <v>121</v>
      </c>
      <c r="D54" s="3" t="s">
        <v>55</v>
      </c>
      <c r="E54" s="3" t="s">
        <v>316</v>
      </c>
      <c r="F54" s="3" t="s">
        <v>317</v>
      </c>
      <c r="G54" s="3" t="s">
        <v>318</v>
      </c>
      <c r="H54" s="3">
        <v>98</v>
      </c>
      <c r="I54" s="3" t="s">
        <v>3</v>
      </c>
      <c r="J54" s="3">
        <v>73</v>
      </c>
      <c r="K54" s="3" t="s">
        <v>7</v>
      </c>
      <c r="L54" s="3">
        <v>71</v>
      </c>
      <c r="M54" s="3" t="s">
        <v>2</v>
      </c>
      <c r="N54" s="3">
        <v>64.5</v>
      </c>
      <c r="O54" s="3" t="s">
        <v>3</v>
      </c>
      <c r="P54" s="3">
        <v>41</v>
      </c>
      <c r="Q54" s="3" t="s">
        <v>5</v>
      </c>
      <c r="R54" s="3">
        <v>103.5</v>
      </c>
      <c r="S54" s="3" t="s">
        <v>3</v>
      </c>
      <c r="T54" s="3">
        <v>23.8</v>
      </c>
      <c r="U54" s="3" t="s">
        <v>3</v>
      </c>
      <c r="V54" s="3">
        <v>49</v>
      </c>
      <c r="W54" s="3" t="s">
        <v>2</v>
      </c>
      <c r="X54" s="3">
        <v>54.5</v>
      </c>
      <c r="Y54" s="3" t="s">
        <v>5</v>
      </c>
      <c r="Z54" s="3">
        <v>94.8</v>
      </c>
      <c r="AA54" s="3" t="s">
        <v>2</v>
      </c>
      <c r="AB54" s="3">
        <v>474.8</v>
      </c>
      <c r="AC54" s="3" t="s">
        <v>3</v>
      </c>
      <c r="AD54" s="3">
        <f t="shared" si="0"/>
        <v>53</v>
      </c>
    </row>
    <row r="55" ht="15" customHeight="1" spans="1:30">
      <c r="A55" s="3" t="s">
        <v>371</v>
      </c>
      <c r="B55" s="3" t="s">
        <v>371</v>
      </c>
      <c r="C55" s="3" t="s">
        <v>130</v>
      </c>
      <c r="D55" s="3" t="s">
        <v>54</v>
      </c>
      <c r="E55" s="3" t="s">
        <v>316</v>
      </c>
      <c r="F55" s="3" t="s">
        <v>317</v>
      </c>
      <c r="G55" s="3" t="s">
        <v>318</v>
      </c>
      <c r="H55" s="3">
        <v>98.5</v>
      </c>
      <c r="I55" s="3" t="s">
        <v>3</v>
      </c>
      <c r="J55" s="3">
        <v>82</v>
      </c>
      <c r="K55" s="3" t="s">
        <v>5</v>
      </c>
      <c r="L55" s="3">
        <v>61.5</v>
      </c>
      <c r="M55" s="3" t="s">
        <v>5</v>
      </c>
      <c r="N55" s="3">
        <v>61</v>
      </c>
      <c r="O55" s="3" t="s">
        <v>3</v>
      </c>
      <c r="P55" s="3">
        <v>45.5</v>
      </c>
      <c r="Q55" s="3" t="s">
        <v>2</v>
      </c>
      <c r="R55" s="3">
        <v>104.5</v>
      </c>
      <c r="S55" s="3" t="s">
        <v>3</v>
      </c>
      <c r="T55" s="3">
        <v>20.2</v>
      </c>
      <c r="U55" s="3" t="s">
        <v>5</v>
      </c>
      <c r="V55" s="3">
        <v>44.5</v>
      </c>
      <c r="W55" s="3" t="s">
        <v>3</v>
      </c>
      <c r="X55" s="3">
        <v>60</v>
      </c>
      <c r="Y55" s="3" t="s">
        <v>3</v>
      </c>
      <c r="Z55" s="3">
        <v>81.7</v>
      </c>
      <c r="AA55" s="3" t="s">
        <v>5</v>
      </c>
      <c r="AB55" s="3">
        <v>473.2</v>
      </c>
      <c r="AC55" s="3" t="s">
        <v>3</v>
      </c>
      <c r="AD55" s="3">
        <f t="shared" si="0"/>
        <v>54</v>
      </c>
    </row>
    <row r="56" ht="15" customHeight="1" spans="1:30">
      <c r="A56" s="3" t="s">
        <v>372</v>
      </c>
      <c r="B56" s="3" t="s">
        <v>372</v>
      </c>
      <c r="C56" s="3" t="s">
        <v>103</v>
      </c>
      <c r="D56" s="3" t="s">
        <v>51</v>
      </c>
      <c r="E56" s="3" t="s">
        <v>316</v>
      </c>
      <c r="F56" s="3" t="s">
        <v>317</v>
      </c>
      <c r="G56" s="3" t="s">
        <v>318</v>
      </c>
      <c r="H56" s="3">
        <v>94</v>
      </c>
      <c r="I56" s="3" t="s">
        <v>3</v>
      </c>
      <c r="J56" s="3">
        <v>87</v>
      </c>
      <c r="K56" s="3" t="s">
        <v>3</v>
      </c>
      <c r="L56" s="3">
        <v>65.5</v>
      </c>
      <c r="M56" s="3" t="s">
        <v>3</v>
      </c>
      <c r="N56" s="3">
        <v>62.5</v>
      </c>
      <c r="O56" s="3" t="s">
        <v>3</v>
      </c>
      <c r="P56" s="3">
        <v>40.5</v>
      </c>
      <c r="Q56" s="3" t="s">
        <v>5</v>
      </c>
      <c r="R56" s="3">
        <v>101</v>
      </c>
      <c r="S56" s="3" t="s">
        <v>3</v>
      </c>
      <c r="T56" s="3">
        <v>22.6</v>
      </c>
      <c r="U56" s="3" t="s">
        <v>3</v>
      </c>
      <c r="V56" s="3">
        <v>42</v>
      </c>
      <c r="W56" s="3" t="s">
        <v>5</v>
      </c>
      <c r="X56" s="3">
        <v>59</v>
      </c>
      <c r="Y56" s="3" t="s">
        <v>3</v>
      </c>
      <c r="Z56" s="3">
        <v>88.1</v>
      </c>
      <c r="AA56" s="3" t="s">
        <v>3</v>
      </c>
      <c r="AB56" s="3">
        <v>473.1</v>
      </c>
      <c r="AC56" s="3" t="s">
        <v>3</v>
      </c>
      <c r="AD56" s="3">
        <f t="shared" si="0"/>
        <v>55</v>
      </c>
    </row>
    <row r="57" ht="15" customHeight="1" spans="1:30">
      <c r="A57" s="3" t="s">
        <v>373</v>
      </c>
      <c r="B57" s="3" t="s">
        <v>373</v>
      </c>
      <c r="C57" s="3" t="s">
        <v>102</v>
      </c>
      <c r="D57" s="3" t="s">
        <v>56</v>
      </c>
      <c r="E57" s="3" t="s">
        <v>316</v>
      </c>
      <c r="F57" s="3" t="s">
        <v>317</v>
      </c>
      <c r="G57" s="3" t="s">
        <v>318</v>
      </c>
      <c r="H57" s="3">
        <v>89.5</v>
      </c>
      <c r="I57" s="3" t="s">
        <v>5</v>
      </c>
      <c r="J57" s="3">
        <v>93</v>
      </c>
      <c r="K57" s="3" t="s">
        <v>2</v>
      </c>
      <c r="L57" s="3">
        <v>71.5</v>
      </c>
      <c r="M57" s="3" t="s">
        <v>2</v>
      </c>
      <c r="N57" s="3">
        <v>49</v>
      </c>
      <c r="O57" s="3" t="s">
        <v>7</v>
      </c>
      <c r="P57" s="3">
        <v>38.5</v>
      </c>
      <c r="Q57" s="3" t="s">
        <v>5</v>
      </c>
      <c r="R57" s="3">
        <v>108.5</v>
      </c>
      <c r="S57" s="3" t="s">
        <v>3</v>
      </c>
      <c r="T57" s="3">
        <v>22.9</v>
      </c>
      <c r="U57" s="3" t="s">
        <v>3</v>
      </c>
      <c r="V57" s="3">
        <v>46</v>
      </c>
      <c r="W57" s="3" t="s">
        <v>3</v>
      </c>
      <c r="X57" s="3">
        <v>62.5</v>
      </c>
      <c r="Y57" s="3" t="s">
        <v>3</v>
      </c>
      <c r="Z57" s="3">
        <v>94.4</v>
      </c>
      <c r="AA57" s="3" t="s">
        <v>3</v>
      </c>
      <c r="AB57" s="3">
        <v>472.9</v>
      </c>
      <c r="AC57" s="3" t="s">
        <v>3</v>
      </c>
      <c r="AD57" s="3">
        <f t="shared" si="0"/>
        <v>56</v>
      </c>
    </row>
    <row r="58" ht="15" customHeight="1" spans="1:30">
      <c r="A58" s="3" t="s">
        <v>374</v>
      </c>
      <c r="B58" s="3" t="s">
        <v>374</v>
      </c>
      <c r="C58" s="3" t="s">
        <v>108</v>
      </c>
      <c r="D58" s="3" t="s">
        <v>51</v>
      </c>
      <c r="E58" s="3" t="s">
        <v>316</v>
      </c>
      <c r="F58" s="3" t="s">
        <v>317</v>
      </c>
      <c r="G58" s="3" t="s">
        <v>318</v>
      </c>
      <c r="H58" s="3">
        <v>92.5</v>
      </c>
      <c r="I58" s="3" t="s">
        <v>3</v>
      </c>
      <c r="J58" s="3">
        <v>90</v>
      </c>
      <c r="K58" s="3" t="s">
        <v>3</v>
      </c>
      <c r="L58" s="3">
        <v>64.5</v>
      </c>
      <c r="M58" s="3" t="s">
        <v>3</v>
      </c>
      <c r="N58" s="3">
        <v>56.5</v>
      </c>
      <c r="O58" s="3" t="s">
        <v>5</v>
      </c>
      <c r="P58" s="3">
        <v>44.5</v>
      </c>
      <c r="Q58" s="3" t="s">
        <v>3</v>
      </c>
      <c r="R58" s="3">
        <v>100.5</v>
      </c>
      <c r="S58" s="3" t="s">
        <v>5</v>
      </c>
      <c r="T58" s="3">
        <v>24.1</v>
      </c>
      <c r="U58" s="3" t="s">
        <v>2</v>
      </c>
      <c r="V58" s="3">
        <v>46.5</v>
      </c>
      <c r="W58" s="3" t="s">
        <v>3</v>
      </c>
      <c r="X58" s="3">
        <v>54</v>
      </c>
      <c r="Y58" s="3" t="s">
        <v>5</v>
      </c>
      <c r="Z58" s="3">
        <v>88.6</v>
      </c>
      <c r="AA58" s="3" t="s">
        <v>3</v>
      </c>
      <c r="AB58" s="3">
        <v>472.6</v>
      </c>
      <c r="AC58" s="3" t="s">
        <v>3</v>
      </c>
      <c r="AD58" s="3">
        <f t="shared" si="0"/>
        <v>57</v>
      </c>
    </row>
    <row r="59" ht="15" customHeight="1" spans="1:30">
      <c r="A59" s="3" t="s">
        <v>375</v>
      </c>
      <c r="B59" s="3" t="s">
        <v>375</v>
      </c>
      <c r="C59" s="3" t="s">
        <v>104</v>
      </c>
      <c r="D59" s="3" t="s">
        <v>53</v>
      </c>
      <c r="E59" s="3" t="s">
        <v>316</v>
      </c>
      <c r="F59" s="3" t="s">
        <v>317</v>
      </c>
      <c r="G59" s="3" t="s">
        <v>318</v>
      </c>
      <c r="H59" s="3">
        <v>97</v>
      </c>
      <c r="I59" s="3" t="s">
        <v>3</v>
      </c>
      <c r="J59" s="3">
        <v>85</v>
      </c>
      <c r="K59" s="3" t="s">
        <v>3</v>
      </c>
      <c r="L59" s="3">
        <v>70</v>
      </c>
      <c r="M59" s="3" t="s">
        <v>3</v>
      </c>
      <c r="N59" s="3">
        <v>61</v>
      </c>
      <c r="O59" s="3" t="s">
        <v>3</v>
      </c>
      <c r="P59" s="3">
        <v>39.5</v>
      </c>
      <c r="Q59" s="3" t="s">
        <v>5</v>
      </c>
      <c r="R59" s="3">
        <v>98</v>
      </c>
      <c r="S59" s="3" t="s">
        <v>5</v>
      </c>
      <c r="T59" s="3">
        <v>22.1</v>
      </c>
      <c r="U59" s="3" t="s">
        <v>3</v>
      </c>
      <c r="V59" s="3">
        <v>44</v>
      </c>
      <c r="W59" s="3" t="s">
        <v>5</v>
      </c>
      <c r="X59" s="3">
        <v>54</v>
      </c>
      <c r="Y59" s="3" t="s">
        <v>5</v>
      </c>
      <c r="Z59" s="3">
        <v>92.1</v>
      </c>
      <c r="AA59" s="3" t="s">
        <v>3</v>
      </c>
      <c r="AB59" s="3">
        <v>472.6</v>
      </c>
      <c r="AC59" s="3" t="s">
        <v>3</v>
      </c>
      <c r="AD59" s="3">
        <f t="shared" si="0"/>
        <v>57</v>
      </c>
    </row>
    <row r="60" ht="15" customHeight="1" spans="1:30">
      <c r="A60" s="3" t="s">
        <v>376</v>
      </c>
      <c r="B60" s="3" t="s">
        <v>376</v>
      </c>
      <c r="C60" s="3" t="s">
        <v>113</v>
      </c>
      <c r="D60" s="3" t="s">
        <v>51</v>
      </c>
      <c r="E60" s="3" t="s">
        <v>316</v>
      </c>
      <c r="F60" s="3" t="s">
        <v>317</v>
      </c>
      <c r="G60" s="3" t="s">
        <v>318</v>
      </c>
      <c r="H60" s="3">
        <v>95</v>
      </c>
      <c r="I60" s="3" t="s">
        <v>3</v>
      </c>
      <c r="J60" s="3">
        <v>85</v>
      </c>
      <c r="K60" s="3" t="s">
        <v>3</v>
      </c>
      <c r="L60" s="3">
        <v>66.5</v>
      </c>
      <c r="M60" s="3" t="s">
        <v>3</v>
      </c>
      <c r="N60" s="3">
        <v>65</v>
      </c>
      <c r="O60" s="3" t="s">
        <v>2</v>
      </c>
      <c r="P60" s="3">
        <v>40</v>
      </c>
      <c r="Q60" s="3" t="s">
        <v>5</v>
      </c>
      <c r="R60" s="3">
        <v>103</v>
      </c>
      <c r="S60" s="3" t="s">
        <v>3</v>
      </c>
      <c r="T60" s="3">
        <v>18</v>
      </c>
      <c r="U60" s="3" t="s">
        <v>7</v>
      </c>
      <c r="V60" s="3">
        <v>43</v>
      </c>
      <c r="W60" s="3" t="s">
        <v>5</v>
      </c>
      <c r="X60" s="3">
        <v>60</v>
      </c>
      <c r="Y60" s="3" t="s">
        <v>3</v>
      </c>
      <c r="Z60" s="3">
        <v>84.5</v>
      </c>
      <c r="AA60" s="3" t="s">
        <v>5</v>
      </c>
      <c r="AB60" s="3">
        <v>472.5</v>
      </c>
      <c r="AC60" s="3" t="s">
        <v>3</v>
      </c>
      <c r="AD60" s="3">
        <f t="shared" si="0"/>
        <v>59</v>
      </c>
    </row>
    <row r="61" ht="15" customHeight="1" spans="1:30">
      <c r="A61" s="3" t="s">
        <v>377</v>
      </c>
      <c r="B61" s="3" t="s">
        <v>377</v>
      </c>
      <c r="C61" s="3" t="s">
        <v>118</v>
      </c>
      <c r="D61" s="3" t="s">
        <v>51</v>
      </c>
      <c r="E61" s="3" t="s">
        <v>316</v>
      </c>
      <c r="F61" s="3" t="s">
        <v>317</v>
      </c>
      <c r="G61" s="3" t="s">
        <v>318</v>
      </c>
      <c r="H61" s="3">
        <v>96</v>
      </c>
      <c r="I61" s="3" t="s">
        <v>3</v>
      </c>
      <c r="J61" s="3">
        <v>81</v>
      </c>
      <c r="K61" s="3" t="s">
        <v>5</v>
      </c>
      <c r="L61" s="3">
        <v>70.5</v>
      </c>
      <c r="M61" s="3" t="s">
        <v>3</v>
      </c>
      <c r="N61" s="3">
        <v>62.5</v>
      </c>
      <c r="O61" s="3" t="s">
        <v>3</v>
      </c>
      <c r="P61" s="3">
        <v>42</v>
      </c>
      <c r="Q61" s="3" t="s">
        <v>3</v>
      </c>
      <c r="R61" s="3">
        <v>96</v>
      </c>
      <c r="S61" s="3" t="s">
        <v>5</v>
      </c>
      <c r="T61" s="3">
        <v>23.9</v>
      </c>
      <c r="U61" s="3" t="s">
        <v>2</v>
      </c>
      <c r="V61" s="3">
        <v>43</v>
      </c>
      <c r="W61" s="3" t="s">
        <v>5</v>
      </c>
      <c r="X61" s="3">
        <v>53</v>
      </c>
      <c r="Y61" s="3" t="s">
        <v>5</v>
      </c>
      <c r="Z61" s="3">
        <v>94.4</v>
      </c>
      <c r="AA61" s="3" t="s">
        <v>3</v>
      </c>
      <c r="AB61" s="3">
        <v>471.9</v>
      </c>
      <c r="AC61" s="3" t="s">
        <v>3</v>
      </c>
      <c r="AD61" s="3">
        <f t="shared" si="0"/>
        <v>60</v>
      </c>
    </row>
    <row r="62" ht="15" customHeight="1" spans="1:30">
      <c r="A62" s="3" t="s">
        <v>378</v>
      </c>
      <c r="B62" s="3" t="s">
        <v>378</v>
      </c>
      <c r="C62" s="3" t="s">
        <v>123</v>
      </c>
      <c r="D62" s="3" t="s">
        <v>51</v>
      </c>
      <c r="E62" s="3" t="s">
        <v>316</v>
      </c>
      <c r="F62" s="3" t="s">
        <v>317</v>
      </c>
      <c r="G62" s="3" t="s">
        <v>318</v>
      </c>
      <c r="H62" s="3">
        <v>86</v>
      </c>
      <c r="I62" s="3" t="s">
        <v>5</v>
      </c>
      <c r="J62" s="3">
        <v>85</v>
      </c>
      <c r="K62" s="3" t="s">
        <v>3</v>
      </c>
      <c r="L62" s="3">
        <v>66.5</v>
      </c>
      <c r="M62" s="3" t="s">
        <v>3</v>
      </c>
      <c r="N62" s="3">
        <v>61.5</v>
      </c>
      <c r="O62" s="3" t="s">
        <v>3</v>
      </c>
      <c r="P62" s="3">
        <v>40</v>
      </c>
      <c r="Q62" s="3" t="s">
        <v>5</v>
      </c>
      <c r="R62" s="3">
        <v>110.5</v>
      </c>
      <c r="S62" s="3" t="s">
        <v>3</v>
      </c>
      <c r="T62" s="3">
        <v>21.8</v>
      </c>
      <c r="U62" s="3" t="s">
        <v>5</v>
      </c>
      <c r="V62" s="3">
        <v>47</v>
      </c>
      <c r="W62" s="3" t="s">
        <v>3</v>
      </c>
      <c r="X62" s="3">
        <v>63.5</v>
      </c>
      <c r="Y62" s="3" t="s">
        <v>3</v>
      </c>
      <c r="Z62" s="3">
        <v>88.3</v>
      </c>
      <c r="AA62" s="3" t="s">
        <v>3</v>
      </c>
      <c r="AB62" s="3">
        <v>471.3</v>
      </c>
      <c r="AC62" s="3" t="s">
        <v>3</v>
      </c>
      <c r="AD62" s="3">
        <f t="shared" si="0"/>
        <v>61</v>
      </c>
    </row>
    <row r="63" ht="15" customHeight="1" spans="1:30">
      <c r="A63" s="3" t="s">
        <v>379</v>
      </c>
      <c r="B63" s="3" t="s">
        <v>379</v>
      </c>
      <c r="C63" s="3" t="s">
        <v>109</v>
      </c>
      <c r="D63" s="3" t="s">
        <v>53</v>
      </c>
      <c r="E63" s="3" t="s">
        <v>316</v>
      </c>
      <c r="F63" s="3" t="s">
        <v>317</v>
      </c>
      <c r="G63" s="3" t="s">
        <v>318</v>
      </c>
      <c r="H63" s="3">
        <v>91</v>
      </c>
      <c r="I63" s="3" t="s">
        <v>5</v>
      </c>
      <c r="J63" s="3">
        <v>85</v>
      </c>
      <c r="K63" s="3" t="s">
        <v>3</v>
      </c>
      <c r="L63" s="3">
        <v>67.5</v>
      </c>
      <c r="M63" s="3" t="s">
        <v>3</v>
      </c>
      <c r="N63" s="3">
        <v>58.5</v>
      </c>
      <c r="O63" s="3" t="s">
        <v>5</v>
      </c>
      <c r="P63" s="3">
        <v>44.5</v>
      </c>
      <c r="Q63" s="3" t="s">
        <v>3</v>
      </c>
      <c r="R63" s="3">
        <v>102</v>
      </c>
      <c r="S63" s="3" t="s">
        <v>3</v>
      </c>
      <c r="T63" s="3">
        <v>22.7</v>
      </c>
      <c r="U63" s="3" t="s">
        <v>3</v>
      </c>
      <c r="V63" s="3">
        <v>44</v>
      </c>
      <c r="W63" s="3" t="s">
        <v>5</v>
      </c>
      <c r="X63" s="3">
        <v>58</v>
      </c>
      <c r="Y63" s="3" t="s">
        <v>3</v>
      </c>
      <c r="Z63" s="3">
        <v>90.2</v>
      </c>
      <c r="AA63" s="3" t="s">
        <v>3</v>
      </c>
      <c r="AB63" s="3">
        <v>471.2</v>
      </c>
      <c r="AC63" s="3" t="s">
        <v>3</v>
      </c>
      <c r="AD63" s="3">
        <f t="shared" si="0"/>
        <v>62</v>
      </c>
    </row>
    <row r="64" ht="15" customHeight="1" spans="1:30">
      <c r="A64" s="3" t="s">
        <v>380</v>
      </c>
      <c r="B64" s="3" t="s">
        <v>380</v>
      </c>
      <c r="C64" s="3" t="s">
        <v>128</v>
      </c>
      <c r="D64" s="3" t="s">
        <v>51</v>
      </c>
      <c r="E64" s="3" t="s">
        <v>316</v>
      </c>
      <c r="F64" s="3" t="s">
        <v>317</v>
      </c>
      <c r="G64" s="3" t="s">
        <v>318</v>
      </c>
      <c r="H64" s="3">
        <v>94</v>
      </c>
      <c r="I64" s="3" t="s">
        <v>3</v>
      </c>
      <c r="J64" s="3">
        <v>91</v>
      </c>
      <c r="K64" s="3" t="s">
        <v>2</v>
      </c>
      <c r="L64" s="3">
        <v>72.5</v>
      </c>
      <c r="M64" s="3" t="s">
        <v>2</v>
      </c>
      <c r="N64" s="3">
        <v>50</v>
      </c>
      <c r="O64" s="3" t="s">
        <v>7</v>
      </c>
      <c r="P64" s="3">
        <v>38.5</v>
      </c>
      <c r="Q64" s="3" t="s">
        <v>5</v>
      </c>
      <c r="R64" s="3">
        <v>101</v>
      </c>
      <c r="S64" s="3" t="s">
        <v>3</v>
      </c>
      <c r="T64" s="3">
        <v>23.2</v>
      </c>
      <c r="U64" s="3" t="s">
        <v>3</v>
      </c>
      <c r="V64" s="3">
        <v>45</v>
      </c>
      <c r="W64" s="3" t="s">
        <v>3</v>
      </c>
      <c r="X64" s="3">
        <v>56</v>
      </c>
      <c r="Y64" s="3" t="s">
        <v>5</v>
      </c>
      <c r="Z64" s="3">
        <v>95.7</v>
      </c>
      <c r="AA64" s="3" t="s">
        <v>2</v>
      </c>
      <c r="AB64" s="3">
        <v>470.2</v>
      </c>
      <c r="AC64" s="3" t="s">
        <v>3</v>
      </c>
      <c r="AD64" s="3">
        <f t="shared" si="0"/>
        <v>63</v>
      </c>
    </row>
    <row r="65" ht="15" customHeight="1" spans="1:30">
      <c r="A65" s="3" t="s">
        <v>381</v>
      </c>
      <c r="B65" s="3" t="s">
        <v>381</v>
      </c>
      <c r="C65" s="3" t="s">
        <v>135</v>
      </c>
      <c r="D65" s="3" t="s">
        <v>54</v>
      </c>
      <c r="E65" s="3" t="s">
        <v>316</v>
      </c>
      <c r="F65" s="3" t="s">
        <v>317</v>
      </c>
      <c r="G65" s="3" t="s">
        <v>318</v>
      </c>
      <c r="H65" s="3">
        <v>91.5</v>
      </c>
      <c r="I65" s="3" t="s">
        <v>5</v>
      </c>
      <c r="J65" s="3">
        <v>78</v>
      </c>
      <c r="K65" s="3" t="s">
        <v>5</v>
      </c>
      <c r="L65" s="3">
        <v>61.5</v>
      </c>
      <c r="M65" s="3" t="s">
        <v>5</v>
      </c>
      <c r="N65" s="3">
        <v>62</v>
      </c>
      <c r="O65" s="3" t="s">
        <v>3</v>
      </c>
      <c r="P65" s="3">
        <v>47</v>
      </c>
      <c r="Q65" s="3" t="s">
        <v>2</v>
      </c>
      <c r="R65" s="3">
        <v>108.5</v>
      </c>
      <c r="S65" s="3" t="s">
        <v>3</v>
      </c>
      <c r="T65" s="3">
        <v>20.2</v>
      </c>
      <c r="U65" s="3" t="s">
        <v>5</v>
      </c>
      <c r="V65" s="3">
        <v>46</v>
      </c>
      <c r="W65" s="3" t="s">
        <v>3</v>
      </c>
      <c r="X65" s="3">
        <v>62.5</v>
      </c>
      <c r="Y65" s="3" t="s">
        <v>3</v>
      </c>
      <c r="Z65" s="3">
        <v>81.7</v>
      </c>
      <c r="AA65" s="3" t="s">
        <v>5</v>
      </c>
      <c r="AB65" s="3">
        <v>468.7</v>
      </c>
      <c r="AC65" s="3" t="s">
        <v>3</v>
      </c>
      <c r="AD65" s="3">
        <f t="shared" si="0"/>
        <v>64</v>
      </c>
    </row>
    <row r="66" ht="15" customHeight="1" spans="1:30">
      <c r="A66" s="3" t="s">
        <v>382</v>
      </c>
      <c r="B66" s="3" t="s">
        <v>382</v>
      </c>
      <c r="C66" s="3" t="s">
        <v>140</v>
      </c>
      <c r="D66" s="3" t="s">
        <v>54</v>
      </c>
      <c r="E66" s="3" t="s">
        <v>316</v>
      </c>
      <c r="F66" s="3" t="s">
        <v>317</v>
      </c>
      <c r="G66" s="3" t="s">
        <v>318</v>
      </c>
      <c r="H66" s="3">
        <v>92</v>
      </c>
      <c r="I66" s="3" t="s">
        <v>5</v>
      </c>
      <c r="J66" s="3">
        <v>92</v>
      </c>
      <c r="K66" s="3" t="s">
        <v>2</v>
      </c>
      <c r="L66" s="3">
        <v>60</v>
      </c>
      <c r="M66" s="3" t="s">
        <v>5</v>
      </c>
      <c r="N66" s="3">
        <v>59</v>
      </c>
      <c r="O66" s="3" t="s">
        <v>5</v>
      </c>
      <c r="P66" s="3">
        <v>41</v>
      </c>
      <c r="Q66" s="3" t="s">
        <v>5</v>
      </c>
      <c r="R66" s="3">
        <v>103</v>
      </c>
      <c r="S66" s="3" t="s">
        <v>3</v>
      </c>
      <c r="T66" s="3">
        <v>21.4</v>
      </c>
      <c r="U66" s="3" t="s">
        <v>5</v>
      </c>
      <c r="V66" s="3">
        <v>43</v>
      </c>
      <c r="W66" s="3" t="s">
        <v>5</v>
      </c>
      <c r="X66" s="3">
        <v>60</v>
      </c>
      <c r="Y66" s="3" t="s">
        <v>3</v>
      </c>
      <c r="Z66" s="3">
        <v>81.4</v>
      </c>
      <c r="AA66" s="3" t="s">
        <v>5</v>
      </c>
      <c r="AB66" s="3">
        <v>468.4</v>
      </c>
      <c r="AC66" s="3" t="s">
        <v>3</v>
      </c>
      <c r="AD66" s="3">
        <f t="shared" si="0"/>
        <v>65</v>
      </c>
    </row>
    <row r="67" ht="15" customHeight="1" spans="1:30">
      <c r="A67" s="3" t="s">
        <v>383</v>
      </c>
      <c r="B67" s="3" t="s">
        <v>383</v>
      </c>
      <c r="C67" s="3" t="s">
        <v>145</v>
      </c>
      <c r="D67" s="3" t="s">
        <v>54</v>
      </c>
      <c r="E67" s="3" t="s">
        <v>316</v>
      </c>
      <c r="F67" s="3" t="s">
        <v>317</v>
      </c>
      <c r="G67" s="3" t="s">
        <v>318</v>
      </c>
      <c r="H67" s="3">
        <v>93</v>
      </c>
      <c r="I67" s="3" t="s">
        <v>3</v>
      </c>
      <c r="J67" s="3">
        <v>83</v>
      </c>
      <c r="K67" s="3" t="s">
        <v>3</v>
      </c>
      <c r="L67" s="3">
        <v>66.5</v>
      </c>
      <c r="M67" s="3" t="s">
        <v>3</v>
      </c>
      <c r="N67" s="3">
        <v>63</v>
      </c>
      <c r="O67" s="3" t="s">
        <v>3</v>
      </c>
      <c r="P67" s="3">
        <v>43</v>
      </c>
      <c r="Q67" s="3" t="s">
        <v>3</v>
      </c>
      <c r="R67" s="3">
        <v>98</v>
      </c>
      <c r="S67" s="3" t="s">
        <v>5</v>
      </c>
      <c r="T67" s="3">
        <v>21.8</v>
      </c>
      <c r="U67" s="3" t="s">
        <v>5</v>
      </c>
      <c r="V67" s="3">
        <v>46.5</v>
      </c>
      <c r="W67" s="3" t="s">
        <v>3</v>
      </c>
      <c r="X67" s="3">
        <v>51.5</v>
      </c>
      <c r="Y67" s="3" t="s">
        <v>5</v>
      </c>
      <c r="Z67" s="3">
        <v>88.3</v>
      </c>
      <c r="AA67" s="3" t="s">
        <v>3</v>
      </c>
      <c r="AB67" s="3">
        <v>468.3</v>
      </c>
      <c r="AC67" s="3" t="s">
        <v>3</v>
      </c>
      <c r="AD67" s="3">
        <f t="shared" ref="AD67:AD130" si="1">RANK(AB67,$AB$2:$AB$228,0)</f>
        <v>66</v>
      </c>
    </row>
    <row r="68" ht="15" customHeight="1" spans="1:30">
      <c r="A68" s="3" t="s">
        <v>384</v>
      </c>
      <c r="B68" s="3" t="s">
        <v>384</v>
      </c>
      <c r="C68" s="3" t="s">
        <v>114</v>
      </c>
      <c r="D68" s="3" t="s">
        <v>53</v>
      </c>
      <c r="E68" s="3" t="s">
        <v>316</v>
      </c>
      <c r="F68" s="3" t="s">
        <v>317</v>
      </c>
      <c r="G68" s="3" t="s">
        <v>318</v>
      </c>
      <c r="H68" s="3">
        <v>98</v>
      </c>
      <c r="I68" s="3" t="s">
        <v>3</v>
      </c>
      <c r="J68" s="3">
        <v>82</v>
      </c>
      <c r="K68" s="3" t="s">
        <v>5</v>
      </c>
      <c r="L68" s="3">
        <v>70</v>
      </c>
      <c r="M68" s="3" t="s">
        <v>3</v>
      </c>
      <c r="N68" s="3">
        <v>51.5</v>
      </c>
      <c r="O68" s="3" t="s">
        <v>7</v>
      </c>
      <c r="P68" s="3">
        <v>39.5</v>
      </c>
      <c r="Q68" s="3" t="s">
        <v>5</v>
      </c>
      <c r="R68" s="3">
        <v>103</v>
      </c>
      <c r="S68" s="3" t="s">
        <v>3</v>
      </c>
      <c r="T68" s="3">
        <v>23.9</v>
      </c>
      <c r="U68" s="3" t="s">
        <v>2</v>
      </c>
      <c r="V68" s="3">
        <v>47</v>
      </c>
      <c r="W68" s="3" t="s">
        <v>3</v>
      </c>
      <c r="X68" s="3">
        <v>56</v>
      </c>
      <c r="Y68" s="3" t="s">
        <v>5</v>
      </c>
      <c r="Z68" s="3">
        <v>93.9</v>
      </c>
      <c r="AA68" s="3" t="s">
        <v>3</v>
      </c>
      <c r="AB68" s="3">
        <v>467.9</v>
      </c>
      <c r="AC68" s="3" t="s">
        <v>3</v>
      </c>
      <c r="AD68" s="3">
        <f t="shared" si="1"/>
        <v>67</v>
      </c>
    </row>
    <row r="69" ht="15" customHeight="1" spans="1:30">
      <c r="A69" s="3" t="s">
        <v>385</v>
      </c>
      <c r="B69" s="3" t="s">
        <v>385</v>
      </c>
      <c r="C69" s="3" t="s">
        <v>133</v>
      </c>
      <c r="D69" s="3" t="s">
        <v>51</v>
      </c>
      <c r="E69" s="3" t="s">
        <v>316</v>
      </c>
      <c r="F69" s="3" t="s">
        <v>317</v>
      </c>
      <c r="G69" s="3" t="s">
        <v>318</v>
      </c>
      <c r="H69" s="3">
        <v>89.5</v>
      </c>
      <c r="I69" s="3" t="s">
        <v>5</v>
      </c>
      <c r="J69" s="3">
        <v>83</v>
      </c>
      <c r="K69" s="3" t="s">
        <v>3</v>
      </c>
      <c r="L69" s="3">
        <v>70.5</v>
      </c>
      <c r="M69" s="3" t="s">
        <v>3</v>
      </c>
      <c r="N69" s="3">
        <v>54.5</v>
      </c>
      <c r="O69" s="3" t="s">
        <v>5</v>
      </c>
      <c r="P69" s="3">
        <v>39.5</v>
      </c>
      <c r="Q69" s="3" t="s">
        <v>5</v>
      </c>
      <c r="R69" s="3">
        <v>107</v>
      </c>
      <c r="S69" s="3" t="s">
        <v>3</v>
      </c>
      <c r="T69" s="3">
        <v>23.6</v>
      </c>
      <c r="U69" s="3" t="s">
        <v>3</v>
      </c>
      <c r="V69" s="3">
        <v>44</v>
      </c>
      <c r="W69" s="3" t="s">
        <v>5</v>
      </c>
      <c r="X69" s="3">
        <v>63</v>
      </c>
      <c r="Y69" s="3" t="s">
        <v>3</v>
      </c>
      <c r="Z69" s="3">
        <v>94.1</v>
      </c>
      <c r="AA69" s="3" t="s">
        <v>3</v>
      </c>
      <c r="AB69" s="3">
        <v>467.6</v>
      </c>
      <c r="AC69" s="3" t="s">
        <v>3</v>
      </c>
      <c r="AD69" s="3">
        <f t="shared" si="1"/>
        <v>68</v>
      </c>
    </row>
    <row r="70" ht="15" customHeight="1" spans="1:30">
      <c r="A70" s="3" t="s">
        <v>386</v>
      </c>
      <c r="B70" s="3" t="s">
        <v>386</v>
      </c>
      <c r="C70" s="3" t="s">
        <v>107</v>
      </c>
      <c r="D70" s="3" t="s">
        <v>56</v>
      </c>
      <c r="E70" s="3" t="s">
        <v>316</v>
      </c>
      <c r="F70" s="3" t="s">
        <v>317</v>
      </c>
      <c r="G70" s="3" t="s">
        <v>318</v>
      </c>
      <c r="H70" s="3">
        <v>91</v>
      </c>
      <c r="I70" s="3" t="s">
        <v>5</v>
      </c>
      <c r="J70" s="3">
        <v>84</v>
      </c>
      <c r="K70" s="3" t="s">
        <v>3</v>
      </c>
      <c r="L70" s="3">
        <v>66.5</v>
      </c>
      <c r="M70" s="3" t="s">
        <v>3</v>
      </c>
      <c r="N70" s="3">
        <v>65</v>
      </c>
      <c r="O70" s="3" t="s">
        <v>2</v>
      </c>
      <c r="P70" s="3">
        <v>42</v>
      </c>
      <c r="Q70" s="3" t="s">
        <v>3</v>
      </c>
      <c r="R70" s="3">
        <v>98</v>
      </c>
      <c r="S70" s="3" t="s">
        <v>5</v>
      </c>
      <c r="T70" s="3">
        <v>20.9</v>
      </c>
      <c r="U70" s="3" t="s">
        <v>5</v>
      </c>
      <c r="V70" s="3">
        <v>43.5</v>
      </c>
      <c r="W70" s="3" t="s">
        <v>5</v>
      </c>
      <c r="X70" s="3">
        <v>54.5</v>
      </c>
      <c r="Y70" s="3" t="s">
        <v>5</v>
      </c>
      <c r="Z70" s="3">
        <v>87.4</v>
      </c>
      <c r="AA70" s="3" t="s">
        <v>3</v>
      </c>
      <c r="AB70" s="3">
        <v>467.4</v>
      </c>
      <c r="AC70" s="3" t="s">
        <v>3</v>
      </c>
      <c r="AD70" s="3">
        <f t="shared" si="1"/>
        <v>69</v>
      </c>
    </row>
    <row r="71" ht="15" customHeight="1" spans="1:30">
      <c r="A71" s="3" t="s">
        <v>387</v>
      </c>
      <c r="B71" s="3" t="s">
        <v>387</v>
      </c>
      <c r="C71" s="3" t="s">
        <v>119</v>
      </c>
      <c r="D71" s="3" t="s">
        <v>53</v>
      </c>
      <c r="E71" s="3" t="s">
        <v>316</v>
      </c>
      <c r="F71" s="3" t="s">
        <v>317</v>
      </c>
      <c r="G71" s="3" t="s">
        <v>318</v>
      </c>
      <c r="H71" s="3">
        <v>96</v>
      </c>
      <c r="I71" s="3" t="s">
        <v>3</v>
      </c>
      <c r="J71" s="3">
        <v>80</v>
      </c>
      <c r="K71" s="3" t="s">
        <v>5</v>
      </c>
      <c r="L71" s="3">
        <v>69.5</v>
      </c>
      <c r="M71" s="3" t="s">
        <v>3</v>
      </c>
      <c r="N71" s="3">
        <v>60.5</v>
      </c>
      <c r="O71" s="3" t="s">
        <v>3</v>
      </c>
      <c r="P71" s="3">
        <v>39.5</v>
      </c>
      <c r="Q71" s="3" t="s">
        <v>5</v>
      </c>
      <c r="R71" s="3">
        <v>98</v>
      </c>
      <c r="S71" s="3" t="s">
        <v>5</v>
      </c>
      <c r="T71" s="3">
        <v>23.5</v>
      </c>
      <c r="U71" s="3" t="s">
        <v>3</v>
      </c>
      <c r="V71" s="3">
        <v>43</v>
      </c>
      <c r="W71" s="3" t="s">
        <v>5</v>
      </c>
      <c r="X71" s="3">
        <v>55</v>
      </c>
      <c r="Y71" s="3" t="s">
        <v>5</v>
      </c>
      <c r="Z71" s="3">
        <v>93</v>
      </c>
      <c r="AA71" s="3" t="s">
        <v>3</v>
      </c>
      <c r="AB71" s="3">
        <v>467</v>
      </c>
      <c r="AC71" s="3" t="s">
        <v>3</v>
      </c>
      <c r="AD71" s="3">
        <f t="shared" si="1"/>
        <v>70</v>
      </c>
    </row>
    <row r="72" ht="15" customHeight="1" spans="1:30">
      <c r="A72" s="3" t="s">
        <v>388</v>
      </c>
      <c r="B72" s="3" t="s">
        <v>388</v>
      </c>
      <c r="C72" s="3" t="s">
        <v>124</v>
      </c>
      <c r="D72" s="3" t="s">
        <v>53</v>
      </c>
      <c r="E72" s="3" t="s">
        <v>316</v>
      </c>
      <c r="F72" s="3" t="s">
        <v>317</v>
      </c>
      <c r="G72" s="3" t="s">
        <v>318</v>
      </c>
      <c r="H72" s="3">
        <v>90</v>
      </c>
      <c r="I72" s="3" t="s">
        <v>5</v>
      </c>
      <c r="J72" s="3">
        <v>86</v>
      </c>
      <c r="K72" s="3" t="s">
        <v>3</v>
      </c>
      <c r="L72" s="3">
        <v>61.5</v>
      </c>
      <c r="M72" s="3" t="s">
        <v>5</v>
      </c>
      <c r="N72" s="3">
        <v>61.5</v>
      </c>
      <c r="O72" s="3" t="s">
        <v>3</v>
      </c>
      <c r="P72" s="3">
        <v>42</v>
      </c>
      <c r="Q72" s="3" t="s">
        <v>3</v>
      </c>
      <c r="R72" s="3">
        <v>102.5</v>
      </c>
      <c r="S72" s="3" t="s">
        <v>3</v>
      </c>
      <c r="T72" s="3">
        <v>23</v>
      </c>
      <c r="U72" s="3" t="s">
        <v>3</v>
      </c>
      <c r="V72" s="3">
        <v>49</v>
      </c>
      <c r="W72" s="3" t="s">
        <v>2</v>
      </c>
      <c r="X72" s="3">
        <v>53.5</v>
      </c>
      <c r="Y72" s="3" t="s">
        <v>5</v>
      </c>
      <c r="Z72" s="3">
        <v>84.5</v>
      </c>
      <c r="AA72" s="3" t="s">
        <v>5</v>
      </c>
      <c r="AB72" s="3">
        <v>466.5</v>
      </c>
      <c r="AC72" s="3" t="s">
        <v>3</v>
      </c>
      <c r="AD72" s="3">
        <f t="shared" si="1"/>
        <v>71</v>
      </c>
    </row>
    <row r="73" ht="15" customHeight="1" spans="1:30">
      <c r="A73" s="3" t="s">
        <v>389</v>
      </c>
      <c r="B73" s="3" t="s">
        <v>389</v>
      </c>
      <c r="C73" s="3" t="s">
        <v>150</v>
      </c>
      <c r="D73" s="3" t="s">
        <v>54</v>
      </c>
      <c r="E73" s="3" t="s">
        <v>316</v>
      </c>
      <c r="F73" s="3" t="s">
        <v>317</v>
      </c>
      <c r="G73" s="3" t="s">
        <v>318</v>
      </c>
      <c r="H73" s="3">
        <v>97</v>
      </c>
      <c r="I73" s="3" t="s">
        <v>3</v>
      </c>
      <c r="J73" s="3">
        <v>80</v>
      </c>
      <c r="K73" s="3" t="s">
        <v>5</v>
      </c>
      <c r="L73" s="3">
        <v>65.5</v>
      </c>
      <c r="M73" s="3" t="s">
        <v>3</v>
      </c>
      <c r="N73" s="3">
        <v>59</v>
      </c>
      <c r="O73" s="3" t="s">
        <v>5</v>
      </c>
      <c r="P73" s="3">
        <v>42</v>
      </c>
      <c r="Q73" s="3" t="s">
        <v>3</v>
      </c>
      <c r="R73" s="3">
        <v>103</v>
      </c>
      <c r="S73" s="3" t="s">
        <v>3</v>
      </c>
      <c r="T73" s="3">
        <v>20</v>
      </c>
      <c r="U73" s="3" t="s">
        <v>5</v>
      </c>
      <c r="V73" s="3">
        <v>45</v>
      </c>
      <c r="W73" s="3" t="s">
        <v>3</v>
      </c>
      <c r="X73" s="3">
        <v>58</v>
      </c>
      <c r="Y73" s="3" t="s">
        <v>3</v>
      </c>
      <c r="Z73" s="3">
        <v>85.5</v>
      </c>
      <c r="AA73" s="3" t="s">
        <v>3</v>
      </c>
      <c r="AB73" s="3">
        <v>466.5</v>
      </c>
      <c r="AC73" s="3" t="s">
        <v>3</v>
      </c>
      <c r="AD73" s="3">
        <f t="shared" si="1"/>
        <v>71</v>
      </c>
    </row>
    <row r="74" ht="15" customHeight="1" spans="1:30">
      <c r="A74" s="3" t="s">
        <v>390</v>
      </c>
      <c r="B74" s="3" t="s">
        <v>390</v>
      </c>
      <c r="C74" s="3" t="s">
        <v>138</v>
      </c>
      <c r="D74" s="3" t="s">
        <v>51</v>
      </c>
      <c r="E74" s="3" t="s">
        <v>316</v>
      </c>
      <c r="F74" s="3" t="s">
        <v>317</v>
      </c>
      <c r="G74" s="3" t="s">
        <v>318</v>
      </c>
      <c r="H74" s="3">
        <v>97</v>
      </c>
      <c r="I74" s="3" t="s">
        <v>3</v>
      </c>
      <c r="J74" s="3">
        <v>84</v>
      </c>
      <c r="K74" s="3" t="s">
        <v>3</v>
      </c>
      <c r="L74" s="3">
        <v>63</v>
      </c>
      <c r="M74" s="3" t="s">
        <v>5</v>
      </c>
      <c r="N74" s="3">
        <v>64</v>
      </c>
      <c r="O74" s="3" t="s">
        <v>3</v>
      </c>
      <c r="P74" s="3">
        <v>39</v>
      </c>
      <c r="Q74" s="3" t="s">
        <v>5</v>
      </c>
      <c r="R74" s="3">
        <v>99.5</v>
      </c>
      <c r="S74" s="3" t="s">
        <v>5</v>
      </c>
      <c r="T74" s="3">
        <v>19.3</v>
      </c>
      <c r="U74" s="3" t="s">
        <v>5</v>
      </c>
      <c r="V74" s="3">
        <v>40.5</v>
      </c>
      <c r="W74" s="3" t="s">
        <v>5</v>
      </c>
      <c r="X74" s="3">
        <v>59</v>
      </c>
      <c r="Y74" s="3" t="s">
        <v>3</v>
      </c>
      <c r="Z74" s="3">
        <v>82.3</v>
      </c>
      <c r="AA74" s="3" t="s">
        <v>5</v>
      </c>
      <c r="AB74" s="3">
        <v>465.8</v>
      </c>
      <c r="AC74" s="3" t="s">
        <v>3</v>
      </c>
      <c r="AD74" s="3">
        <f t="shared" si="1"/>
        <v>73</v>
      </c>
    </row>
    <row r="75" ht="15" customHeight="1" spans="1:30">
      <c r="A75" s="3" t="s">
        <v>391</v>
      </c>
      <c r="B75" s="3" t="s">
        <v>391</v>
      </c>
      <c r="C75" s="3" t="s">
        <v>143</v>
      </c>
      <c r="D75" s="3" t="s">
        <v>51</v>
      </c>
      <c r="E75" s="3" t="s">
        <v>316</v>
      </c>
      <c r="F75" s="3" t="s">
        <v>317</v>
      </c>
      <c r="G75" s="3" t="s">
        <v>318</v>
      </c>
      <c r="H75" s="3">
        <v>98.5</v>
      </c>
      <c r="I75" s="3" t="s">
        <v>3</v>
      </c>
      <c r="J75" s="3">
        <v>83</v>
      </c>
      <c r="K75" s="3" t="s">
        <v>3</v>
      </c>
      <c r="L75" s="3">
        <v>66.5</v>
      </c>
      <c r="M75" s="3" t="s">
        <v>3</v>
      </c>
      <c r="N75" s="3">
        <v>59</v>
      </c>
      <c r="O75" s="3" t="s">
        <v>5</v>
      </c>
      <c r="P75" s="3">
        <v>47.5</v>
      </c>
      <c r="Q75" s="3" t="s">
        <v>2</v>
      </c>
      <c r="R75" s="3">
        <v>88</v>
      </c>
      <c r="S75" s="3" t="s">
        <v>5</v>
      </c>
      <c r="T75" s="3">
        <v>23</v>
      </c>
      <c r="U75" s="3" t="s">
        <v>3</v>
      </c>
      <c r="V75" s="3">
        <v>36.5</v>
      </c>
      <c r="W75" s="3" t="s">
        <v>7</v>
      </c>
      <c r="X75" s="3">
        <v>51.5</v>
      </c>
      <c r="Y75" s="3" t="s">
        <v>5</v>
      </c>
      <c r="Z75" s="3">
        <v>89.5</v>
      </c>
      <c r="AA75" s="3" t="s">
        <v>3</v>
      </c>
      <c r="AB75" s="3">
        <v>465.5</v>
      </c>
      <c r="AC75" s="3" t="s">
        <v>3</v>
      </c>
      <c r="AD75" s="3">
        <f t="shared" si="1"/>
        <v>74</v>
      </c>
    </row>
    <row r="76" ht="15" customHeight="1" spans="1:30">
      <c r="A76" s="3" t="s">
        <v>392</v>
      </c>
      <c r="B76" s="3" t="s">
        <v>392</v>
      </c>
      <c r="C76" s="3" t="s">
        <v>112</v>
      </c>
      <c r="D76" s="3" t="s">
        <v>56</v>
      </c>
      <c r="E76" s="3" t="s">
        <v>316</v>
      </c>
      <c r="F76" s="3" t="s">
        <v>317</v>
      </c>
      <c r="G76" s="3" t="s">
        <v>318</v>
      </c>
      <c r="H76" s="3">
        <v>87</v>
      </c>
      <c r="I76" s="3" t="s">
        <v>5</v>
      </c>
      <c r="J76" s="3">
        <v>87</v>
      </c>
      <c r="K76" s="3" t="s">
        <v>3</v>
      </c>
      <c r="L76" s="3">
        <v>68</v>
      </c>
      <c r="M76" s="3" t="s">
        <v>3</v>
      </c>
      <c r="N76" s="3">
        <v>60</v>
      </c>
      <c r="O76" s="3" t="s">
        <v>3</v>
      </c>
      <c r="P76" s="3">
        <v>41.5</v>
      </c>
      <c r="Q76" s="3" t="s">
        <v>3</v>
      </c>
      <c r="R76" s="3">
        <v>101</v>
      </c>
      <c r="S76" s="3" t="s">
        <v>3</v>
      </c>
      <c r="T76" s="3">
        <v>20.9</v>
      </c>
      <c r="U76" s="3" t="s">
        <v>5</v>
      </c>
      <c r="V76" s="3">
        <v>43</v>
      </c>
      <c r="W76" s="3" t="s">
        <v>5</v>
      </c>
      <c r="X76" s="3">
        <v>58</v>
      </c>
      <c r="Y76" s="3" t="s">
        <v>3</v>
      </c>
      <c r="Z76" s="3">
        <v>88.9</v>
      </c>
      <c r="AA76" s="3" t="s">
        <v>3</v>
      </c>
      <c r="AB76" s="3">
        <v>465.4</v>
      </c>
      <c r="AC76" s="3" t="s">
        <v>3</v>
      </c>
      <c r="AD76" s="3">
        <f t="shared" si="1"/>
        <v>75</v>
      </c>
    </row>
    <row r="77" ht="15" customHeight="1" spans="1:30">
      <c r="A77" s="3" t="s">
        <v>393</v>
      </c>
      <c r="B77" s="3" t="s">
        <v>393</v>
      </c>
      <c r="C77" s="3" t="s">
        <v>117</v>
      </c>
      <c r="D77" s="3" t="s">
        <v>56</v>
      </c>
      <c r="E77" s="3" t="s">
        <v>316</v>
      </c>
      <c r="F77" s="3" t="s">
        <v>317</v>
      </c>
      <c r="G77" s="3" t="s">
        <v>318</v>
      </c>
      <c r="H77" s="3">
        <v>95</v>
      </c>
      <c r="I77" s="3" t="s">
        <v>3</v>
      </c>
      <c r="J77" s="3">
        <v>79</v>
      </c>
      <c r="K77" s="3" t="s">
        <v>5</v>
      </c>
      <c r="L77" s="3">
        <v>68</v>
      </c>
      <c r="M77" s="3" t="s">
        <v>3</v>
      </c>
      <c r="N77" s="3">
        <v>64</v>
      </c>
      <c r="O77" s="3" t="s">
        <v>3</v>
      </c>
      <c r="P77" s="3">
        <v>39</v>
      </c>
      <c r="Q77" s="3" t="s">
        <v>5</v>
      </c>
      <c r="R77" s="3">
        <v>98.5</v>
      </c>
      <c r="S77" s="3" t="s">
        <v>5</v>
      </c>
      <c r="T77" s="3">
        <v>21.9</v>
      </c>
      <c r="U77" s="3" t="s">
        <v>5</v>
      </c>
      <c r="V77" s="3">
        <v>42.5</v>
      </c>
      <c r="W77" s="3" t="s">
        <v>5</v>
      </c>
      <c r="X77" s="3">
        <v>56</v>
      </c>
      <c r="Y77" s="3" t="s">
        <v>5</v>
      </c>
      <c r="Z77" s="3">
        <v>89.9</v>
      </c>
      <c r="AA77" s="3" t="s">
        <v>3</v>
      </c>
      <c r="AB77" s="3">
        <v>465.4</v>
      </c>
      <c r="AC77" s="3" t="s">
        <v>3</v>
      </c>
      <c r="AD77" s="3">
        <f t="shared" si="1"/>
        <v>75</v>
      </c>
    </row>
    <row r="78" ht="15" customHeight="1" spans="1:30">
      <c r="A78" s="3" t="s">
        <v>394</v>
      </c>
      <c r="B78" s="3" t="s">
        <v>394</v>
      </c>
      <c r="C78" s="3" t="s">
        <v>129</v>
      </c>
      <c r="D78" s="3" t="s">
        <v>53</v>
      </c>
      <c r="E78" s="3" t="s">
        <v>316</v>
      </c>
      <c r="F78" s="3" t="s">
        <v>317</v>
      </c>
      <c r="G78" s="3" t="s">
        <v>318</v>
      </c>
      <c r="H78" s="3">
        <v>97.5</v>
      </c>
      <c r="I78" s="3" t="s">
        <v>3</v>
      </c>
      <c r="J78" s="3">
        <v>85</v>
      </c>
      <c r="K78" s="3" t="s">
        <v>3</v>
      </c>
      <c r="L78" s="3">
        <v>63</v>
      </c>
      <c r="M78" s="3" t="s">
        <v>5</v>
      </c>
      <c r="N78" s="3">
        <v>57</v>
      </c>
      <c r="O78" s="3" t="s">
        <v>5</v>
      </c>
      <c r="P78" s="3">
        <v>42</v>
      </c>
      <c r="Q78" s="3" t="s">
        <v>3</v>
      </c>
      <c r="R78" s="3">
        <v>99</v>
      </c>
      <c r="S78" s="3" t="s">
        <v>5</v>
      </c>
      <c r="T78" s="3">
        <v>21.8</v>
      </c>
      <c r="U78" s="3" t="s">
        <v>5</v>
      </c>
      <c r="V78" s="3">
        <v>43.5</v>
      </c>
      <c r="W78" s="3" t="s">
        <v>5</v>
      </c>
      <c r="X78" s="3">
        <v>55.5</v>
      </c>
      <c r="Y78" s="3" t="s">
        <v>5</v>
      </c>
      <c r="Z78" s="3">
        <v>84.8</v>
      </c>
      <c r="AA78" s="3" t="s">
        <v>5</v>
      </c>
      <c r="AB78" s="3">
        <v>465.3</v>
      </c>
      <c r="AC78" s="3" t="s">
        <v>3</v>
      </c>
      <c r="AD78" s="3">
        <f t="shared" si="1"/>
        <v>77</v>
      </c>
    </row>
    <row r="79" ht="15" customHeight="1" spans="1:30">
      <c r="A79" s="3" t="s">
        <v>395</v>
      </c>
      <c r="B79" s="3" t="s">
        <v>395</v>
      </c>
      <c r="C79" s="3" t="s">
        <v>134</v>
      </c>
      <c r="D79" s="3" t="s">
        <v>53</v>
      </c>
      <c r="E79" s="3" t="s">
        <v>316</v>
      </c>
      <c r="F79" s="3" t="s">
        <v>317</v>
      </c>
      <c r="G79" s="3" t="s">
        <v>318</v>
      </c>
      <c r="H79" s="3">
        <v>98</v>
      </c>
      <c r="I79" s="3" t="s">
        <v>3</v>
      </c>
      <c r="J79" s="3">
        <v>81</v>
      </c>
      <c r="K79" s="3" t="s">
        <v>5</v>
      </c>
      <c r="L79" s="3">
        <v>68</v>
      </c>
      <c r="M79" s="3" t="s">
        <v>3</v>
      </c>
      <c r="N79" s="3">
        <v>63</v>
      </c>
      <c r="O79" s="3" t="s">
        <v>3</v>
      </c>
      <c r="P79" s="3">
        <v>43</v>
      </c>
      <c r="Q79" s="3" t="s">
        <v>3</v>
      </c>
      <c r="R79" s="3">
        <v>89</v>
      </c>
      <c r="S79" s="3" t="s">
        <v>5</v>
      </c>
      <c r="T79" s="3">
        <v>23.1</v>
      </c>
      <c r="U79" s="3" t="s">
        <v>3</v>
      </c>
      <c r="V79" s="3">
        <v>40.5</v>
      </c>
      <c r="W79" s="3" t="s">
        <v>5</v>
      </c>
      <c r="X79" s="3">
        <v>48.5</v>
      </c>
      <c r="Y79" s="3" t="s">
        <v>5</v>
      </c>
      <c r="Z79" s="3">
        <v>91.1</v>
      </c>
      <c r="AA79" s="3" t="s">
        <v>3</v>
      </c>
      <c r="AB79" s="3">
        <v>465.1</v>
      </c>
      <c r="AC79" s="3" t="s">
        <v>3</v>
      </c>
      <c r="AD79" s="3">
        <f t="shared" si="1"/>
        <v>78</v>
      </c>
    </row>
    <row r="80" ht="15" customHeight="1" spans="1:30">
      <c r="A80" s="3" t="s">
        <v>396</v>
      </c>
      <c r="B80" s="3" t="s">
        <v>396</v>
      </c>
      <c r="C80" s="3" t="s">
        <v>122</v>
      </c>
      <c r="D80" s="3" t="s">
        <v>56</v>
      </c>
      <c r="E80" s="3" t="s">
        <v>316</v>
      </c>
      <c r="F80" s="3" t="s">
        <v>317</v>
      </c>
      <c r="G80" s="3" t="s">
        <v>318</v>
      </c>
      <c r="H80" s="3">
        <v>93</v>
      </c>
      <c r="I80" s="3" t="s">
        <v>3</v>
      </c>
      <c r="J80" s="3">
        <v>87</v>
      </c>
      <c r="K80" s="3" t="s">
        <v>3</v>
      </c>
      <c r="L80" s="3">
        <v>66.5</v>
      </c>
      <c r="M80" s="3" t="s">
        <v>3</v>
      </c>
      <c r="N80" s="3">
        <v>59</v>
      </c>
      <c r="O80" s="3" t="s">
        <v>5</v>
      </c>
      <c r="P80" s="3">
        <v>40</v>
      </c>
      <c r="Q80" s="3" t="s">
        <v>5</v>
      </c>
      <c r="R80" s="3">
        <v>96</v>
      </c>
      <c r="S80" s="3" t="s">
        <v>5</v>
      </c>
      <c r="T80" s="3">
        <v>23.5</v>
      </c>
      <c r="U80" s="3" t="s">
        <v>3</v>
      </c>
      <c r="V80" s="3">
        <v>44</v>
      </c>
      <c r="W80" s="3" t="s">
        <v>5</v>
      </c>
      <c r="X80" s="3">
        <v>52</v>
      </c>
      <c r="Y80" s="3" t="s">
        <v>5</v>
      </c>
      <c r="Z80" s="3">
        <v>90</v>
      </c>
      <c r="AA80" s="3" t="s">
        <v>3</v>
      </c>
      <c r="AB80" s="3">
        <v>465</v>
      </c>
      <c r="AC80" s="3" t="s">
        <v>3</v>
      </c>
      <c r="AD80" s="3">
        <f t="shared" si="1"/>
        <v>79</v>
      </c>
    </row>
    <row r="81" ht="15" customHeight="1" spans="1:30">
      <c r="A81" s="3" t="s">
        <v>397</v>
      </c>
      <c r="B81" s="3" t="s">
        <v>397</v>
      </c>
      <c r="C81" s="3" t="s">
        <v>126</v>
      </c>
      <c r="D81" s="3" t="s">
        <v>55</v>
      </c>
      <c r="E81" s="3" t="s">
        <v>316</v>
      </c>
      <c r="F81" s="3" t="s">
        <v>317</v>
      </c>
      <c r="G81" s="3" t="s">
        <v>318</v>
      </c>
      <c r="H81" s="3">
        <v>101</v>
      </c>
      <c r="I81" s="3" t="s">
        <v>2</v>
      </c>
      <c r="J81" s="3">
        <v>79</v>
      </c>
      <c r="K81" s="3" t="s">
        <v>5</v>
      </c>
      <c r="L81" s="3">
        <v>71</v>
      </c>
      <c r="M81" s="3" t="s">
        <v>2</v>
      </c>
      <c r="N81" s="3">
        <v>64</v>
      </c>
      <c r="O81" s="3" t="s">
        <v>3</v>
      </c>
      <c r="P81" s="3">
        <v>38</v>
      </c>
      <c r="Q81" s="3" t="s">
        <v>5</v>
      </c>
      <c r="R81" s="3">
        <v>88.5</v>
      </c>
      <c r="S81" s="3" t="s">
        <v>5</v>
      </c>
      <c r="T81" s="3">
        <v>23.1</v>
      </c>
      <c r="U81" s="3" t="s">
        <v>3</v>
      </c>
      <c r="V81" s="3">
        <v>40.5</v>
      </c>
      <c r="W81" s="3" t="s">
        <v>5</v>
      </c>
      <c r="X81" s="3">
        <v>48</v>
      </c>
      <c r="Y81" s="3" t="s">
        <v>5</v>
      </c>
      <c r="Z81" s="3">
        <v>94.1</v>
      </c>
      <c r="AA81" s="3" t="s">
        <v>3</v>
      </c>
      <c r="AB81" s="3">
        <v>464.6</v>
      </c>
      <c r="AC81" s="3" t="s">
        <v>3</v>
      </c>
      <c r="AD81" s="3">
        <f t="shared" si="1"/>
        <v>80</v>
      </c>
    </row>
    <row r="82" ht="15" customHeight="1" spans="1:30">
      <c r="A82" s="3" t="s">
        <v>398</v>
      </c>
      <c r="B82" s="3" t="s">
        <v>398</v>
      </c>
      <c r="C82" s="3" t="s">
        <v>139</v>
      </c>
      <c r="D82" s="3" t="s">
        <v>53</v>
      </c>
      <c r="E82" s="3" t="s">
        <v>316</v>
      </c>
      <c r="F82" s="3" t="s">
        <v>317</v>
      </c>
      <c r="G82" s="3" t="s">
        <v>318</v>
      </c>
      <c r="H82" s="3">
        <v>92</v>
      </c>
      <c r="I82" s="3" t="s">
        <v>5</v>
      </c>
      <c r="J82" s="3">
        <v>84</v>
      </c>
      <c r="K82" s="3" t="s">
        <v>3</v>
      </c>
      <c r="L82" s="3">
        <v>68</v>
      </c>
      <c r="M82" s="3" t="s">
        <v>3</v>
      </c>
      <c r="N82" s="3">
        <v>56</v>
      </c>
      <c r="O82" s="3" t="s">
        <v>5</v>
      </c>
      <c r="P82" s="3">
        <v>40.5</v>
      </c>
      <c r="Q82" s="3" t="s">
        <v>5</v>
      </c>
      <c r="R82" s="3">
        <v>100.5</v>
      </c>
      <c r="S82" s="3" t="s">
        <v>5</v>
      </c>
      <c r="T82" s="3">
        <v>23.4</v>
      </c>
      <c r="U82" s="3" t="s">
        <v>3</v>
      </c>
      <c r="V82" s="3">
        <v>48</v>
      </c>
      <c r="W82" s="3" t="s">
        <v>2</v>
      </c>
      <c r="X82" s="3">
        <v>52.5</v>
      </c>
      <c r="Y82" s="3" t="s">
        <v>5</v>
      </c>
      <c r="Z82" s="3">
        <v>91.4</v>
      </c>
      <c r="AA82" s="3" t="s">
        <v>3</v>
      </c>
      <c r="AB82" s="3">
        <v>464.4</v>
      </c>
      <c r="AC82" s="3" t="s">
        <v>3</v>
      </c>
      <c r="AD82" s="3">
        <f t="shared" si="1"/>
        <v>81</v>
      </c>
    </row>
    <row r="83" ht="15" customHeight="1" spans="1:30">
      <c r="A83" s="3" t="s">
        <v>399</v>
      </c>
      <c r="B83" s="3" t="s">
        <v>399</v>
      </c>
      <c r="C83" s="3" t="s">
        <v>131</v>
      </c>
      <c r="D83" s="3" t="s">
        <v>55</v>
      </c>
      <c r="E83" s="3" t="s">
        <v>316</v>
      </c>
      <c r="F83" s="3" t="s">
        <v>317</v>
      </c>
      <c r="G83" s="3" t="s">
        <v>318</v>
      </c>
      <c r="H83" s="3">
        <v>96</v>
      </c>
      <c r="I83" s="3" t="s">
        <v>3</v>
      </c>
      <c r="J83" s="3">
        <v>78</v>
      </c>
      <c r="K83" s="3" t="s">
        <v>5</v>
      </c>
      <c r="L83" s="3">
        <v>69.5</v>
      </c>
      <c r="M83" s="3" t="s">
        <v>3</v>
      </c>
      <c r="N83" s="3">
        <v>62.5</v>
      </c>
      <c r="O83" s="3" t="s">
        <v>3</v>
      </c>
      <c r="P83" s="3">
        <v>45.5</v>
      </c>
      <c r="Q83" s="3" t="s">
        <v>2</v>
      </c>
      <c r="R83" s="3">
        <v>89.5</v>
      </c>
      <c r="S83" s="3" t="s">
        <v>5</v>
      </c>
      <c r="T83" s="3">
        <v>23.2</v>
      </c>
      <c r="U83" s="3" t="s">
        <v>3</v>
      </c>
      <c r="V83" s="3">
        <v>42</v>
      </c>
      <c r="W83" s="3" t="s">
        <v>5</v>
      </c>
      <c r="X83" s="3">
        <v>47.5</v>
      </c>
      <c r="Y83" s="3" t="s">
        <v>5</v>
      </c>
      <c r="Z83" s="3">
        <v>92.7</v>
      </c>
      <c r="AA83" s="3" t="s">
        <v>3</v>
      </c>
      <c r="AB83" s="3">
        <v>464.2</v>
      </c>
      <c r="AC83" s="3" t="s">
        <v>3</v>
      </c>
      <c r="AD83" s="3">
        <f t="shared" si="1"/>
        <v>82</v>
      </c>
    </row>
    <row r="84" ht="15" customHeight="1" spans="1:30">
      <c r="A84" s="3" t="s">
        <v>400</v>
      </c>
      <c r="B84" s="3" t="s">
        <v>400</v>
      </c>
      <c r="C84" s="3" t="s">
        <v>148</v>
      </c>
      <c r="D84" s="3" t="s">
        <v>51</v>
      </c>
      <c r="E84" s="3" t="s">
        <v>316</v>
      </c>
      <c r="F84" s="3" t="s">
        <v>317</v>
      </c>
      <c r="G84" s="3" t="s">
        <v>318</v>
      </c>
      <c r="H84" s="3">
        <v>91</v>
      </c>
      <c r="I84" s="3" t="s">
        <v>5</v>
      </c>
      <c r="J84" s="3">
        <v>84</v>
      </c>
      <c r="K84" s="3" t="s">
        <v>3</v>
      </c>
      <c r="L84" s="3">
        <v>63.5</v>
      </c>
      <c r="M84" s="3" t="s">
        <v>5</v>
      </c>
      <c r="N84" s="3">
        <v>63</v>
      </c>
      <c r="O84" s="3" t="s">
        <v>3</v>
      </c>
      <c r="P84" s="3">
        <v>39.5</v>
      </c>
      <c r="Q84" s="3" t="s">
        <v>5</v>
      </c>
      <c r="R84" s="3">
        <v>100.5</v>
      </c>
      <c r="S84" s="3" t="s">
        <v>5</v>
      </c>
      <c r="T84" s="3">
        <v>20.5</v>
      </c>
      <c r="U84" s="3" t="s">
        <v>5</v>
      </c>
      <c r="V84" s="3">
        <v>43.5</v>
      </c>
      <c r="W84" s="3" t="s">
        <v>5</v>
      </c>
      <c r="X84" s="3">
        <v>57</v>
      </c>
      <c r="Y84" s="3" t="s">
        <v>3</v>
      </c>
      <c r="Z84" s="3">
        <v>84</v>
      </c>
      <c r="AA84" s="3" t="s">
        <v>5</v>
      </c>
      <c r="AB84" s="3">
        <v>462</v>
      </c>
      <c r="AC84" s="3" t="s">
        <v>3</v>
      </c>
      <c r="AD84" s="3">
        <f t="shared" si="1"/>
        <v>83</v>
      </c>
    </row>
    <row r="85" ht="15" customHeight="1" spans="1:30">
      <c r="A85" s="3" t="s">
        <v>401</v>
      </c>
      <c r="B85" s="3" t="s">
        <v>401</v>
      </c>
      <c r="C85" s="3" t="s">
        <v>155</v>
      </c>
      <c r="D85" s="3" t="s">
        <v>54</v>
      </c>
      <c r="E85" s="3" t="s">
        <v>316</v>
      </c>
      <c r="F85" s="3" t="s">
        <v>317</v>
      </c>
      <c r="G85" s="3" t="s">
        <v>318</v>
      </c>
      <c r="H85" s="3">
        <v>97</v>
      </c>
      <c r="I85" s="3" t="s">
        <v>3</v>
      </c>
      <c r="J85" s="3">
        <v>88</v>
      </c>
      <c r="K85" s="3" t="s">
        <v>3</v>
      </c>
      <c r="L85" s="3">
        <v>62</v>
      </c>
      <c r="M85" s="3" t="s">
        <v>5</v>
      </c>
      <c r="N85" s="3">
        <v>64</v>
      </c>
      <c r="O85" s="3" t="s">
        <v>3</v>
      </c>
      <c r="P85" s="3">
        <v>44</v>
      </c>
      <c r="Q85" s="3" t="s">
        <v>3</v>
      </c>
      <c r="R85" s="3">
        <v>84.5</v>
      </c>
      <c r="S85" s="3" t="s">
        <v>5</v>
      </c>
      <c r="T85" s="3">
        <v>22.5</v>
      </c>
      <c r="U85" s="3" t="s">
        <v>3</v>
      </c>
      <c r="V85" s="3">
        <v>37.5</v>
      </c>
      <c r="W85" s="3" t="s">
        <v>5</v>
      </c>
      <c r="X85" s="3">
        <v>47</v>
      </c>
      <c r="Y85" s="3" t="s">
        <v>5</v>
      </c>
      <c r="Z85" s="3">
        <v>84.5</v>
      </c>
      <c r="AA85" s="3" t="s">
        <v>5</v>
      </c>
      <c r="AB85" s="3">
        <v>462</v>
      </c>
      <c r="AC85" s="3" t="s">
        <v>3</v>
      </c>
      <c r="AD85" s="3">
        <f t="shared" si="1"/>
        <v>83</v>
      </c>
    </row>
    <row r="86" ht="15" customHeight="1" spans="1:30">
      <c r="A86" s="3" t="s">
        <v>402</v>
      </c>
      <c r="B86" s="3" t="s">
        <v>402</v>
      </c>
      <c r="C86" s="3" t="s">
        <v>127</v>
      </c>
      <c r="D86" s="3" t="s">
        <v>56</v>
      </c>
      <c r="E86" s="3" t="s">
        <v>316</v>
      </c>
      <c r="F86" s="3" t="s">
        <v>317</v>
      </c>
      <c r="G86" s="3" t="s">
        <v>318</v>
      </c>
      <c r="H86" s="3">
        <v>89.5</v>
      </c>
      <c r="I86" s="3" t="s">
        <v>5</v>
      </c>
      <c r="J86" s="3">
        <v>82</v>
      </c>
      <c r="K86" s="3" t="s">
        <v>5</v>
      </c>
      <c r="L86" s="3">
        <v>67</v>
      </c>
      <c r="M86" s="3" t="s">
        <v>3</v>
      </c>
      <c r="N86" s="3">
        <v>58.5</v>
      </c>
      <c r="O86" s="3" t="s">
        <v>5</v>
      </c>
      <c r="P86" s="3">
        <v>42</v>
      </c>
      <c r="Q86" s="3" t="s">
        <v>3</v>
      </c>
      <c r="R86" s="3">
        <v>99.5</v>
      </c>
      <c r="S86" s="3" t="s">
        <v>5</v>
      </c>
      <c r="T86" s="3">
        <v>23.1</v>
      </c>
      <c r="U86" s="3" t="s">
        <v>3</v>
      </c>
      <c r="V86" s="3">
        <v>43.5</v>
      </c>
      <c r="W86" s="3" t="s">
        <v>5</v>
      </c>
      <c r="X86" s="3">
        <v>56</v>
      </c>
      <c r="Y86" s="3" t="s">
        <v>5</v>
      </c>
      <c r="Z86" s="3">
        <v>90.1</v>
      </c>
      <c r="AA86" s="3" t="s">
        <v>3</v>
      </c>
      <c r="AB86" s="3">
        <v>461.6</v>
      </c>
      <c r="AC86" s="3" t="s">
        <v>3</v>
      </c>
      <c r="AD86" s="3">
        <f t="shared" si="1"/>
        <v>85</v>
      </c>
    </row>
    <row r="87" ht="15" customHeight="1" spans="1:30">
      <c r="A87" s="3" t="s">
        <v>403</v>
      </c>
      <c r="B87" s="3" t="s">
        <v>403</v>
      </c>
      <c r="C87" s="3" t="s">
        <v>136</v>
      </c>
      <c r="D87" s="3" t="s">
        <v>55</v>
      </c>
      <c r="E87" s="3" t="s">
        <v>316</v>
      </c>
      <c r="F87" s="3" t="s">
        <v>317</v>
      </c>
      <c r="G87" s="3" t="s">
        <v>318</v>
      </c>
      <c r="H87" s="3">
        <v>95.5</v>
      </c>
      <c r="I87" s="3" t="s">
        <v>3</v>
      </c>
      <c r="J87" s="3">
        <v>80</v>
      </c>
      <c r="K87" s="3" t="s">
        <v>5</v>
      </c>
      <c r="L87" s="3">
        <v>71</v>
      </c>
      <c r="M87" s="3" t="s">
        <v>2</v>
      </c>
      <c r="N87" s="3">
        <v>64</v>
      </c>
      <c r="O87" s="3" t="s">
        <v>3</v>
      </c>
      <c r="P87" s="3">
        <v>42</v>
      </c>
      <c r="Q87" s="3" t="s">
        <v>3</v>
      </c>
      <c r="R87" s="3">
        <v>88.5</v>
      </c>
      <c r="S87" s="3" t="s">
        <v>5</v>
      </c>
      <c r="T87" s="3">
        <v>20.5</v>
      </c>
      <c r="U87" s="3" t="s">
        <v>5</v>
      </c>
      <c r="V87" s="3">
        <v>37</v>
      </c>
      <c r="W87" s="3" t="s">
        <v>7</v>
      </c>
      <c r="X87" s="3">
        <v>51.5</v>
      </c>
      <c r="Y87" s="3" t="s">
        <v>5</v>
      </c>
      <c r="Z87" s="3">
        <v>91.5</v>
      </c>
      <c r="AA87" s="3" t="s">
        <v>3</v>
      </c>
      <c r="AB87" s="3">
        <v>461.5</v>
      </c>
      <c r="AC87" s="3" t="s">
        <v>3</v>
      </c>
      <c r="AD87" s="3">
        <f t="shared" si="1"/>
        <v>86</v>
      </c>
    </row>
    <row r="88" ht="15" customHeight="1" spans="1:30">
      <c r="A88" s="3" t="s">
        <v>404</v>
      </c>
      <c r="B88" s="3" t="s">
        <v>404</v>
      </c>
      <c r="C88" s="3" t="s">
        <v>160</v>
      </c>
      <c r="D88" s="3" t="s">
        <v>54</v>
      </c>
      <c r="E88" s="3" t="s">
        <v>316</v>
      </c>
      <c r="F88" s="3" t="s">
        <v>317</v>
      </c>
      <c r="G88" s="3" t="s">
        <v>318</v>
      </c>
      <c r="H88" s="3">
        <v>91</v>
      </c>
      <c r="I88" s="3" t="s">
        <v>5</v>
      </c>
      <c r="J88" s="3">
        <v>82</v>
      </c>
      <c r="K88" s="3" t="s">
        <v>5</v>
      </c>
      <c r="L88" s="3">
        <v>66</v>
      </c>
      <c r="M88" s="3" t="s">
        <v>3</v>
      </c>
      <c r="N88" s="3">
        <v>58.5</v>
      </c>
      <c r="O88" s="3" t="s">
        <v>5</v>
      </c>
      <c r="P88" s="3">
        <v>41</v>
      </c>
      <c r="Q88" s="3" t="s">
        <v>5</v>
      </c>
      <c r="R88" s="3">
        <v>101</v>
      </c>
      <c r="S88" s="3" t="s">
        <v>3</v>
      </c>
      <c r="T88" s="3">
        <v>21.3</v>
      </c>
      <c r="U88" s="3" t="s">
        <v>5</v>
      </c>
      <c r="V88" s="3">
        <v>42</v>
      </c>
      <c r="W88" s="3" t="s">
        <v>5</v>
      </c>
      <c r="X88" s="3">
        <v>59</v>
      </c>
      <c r="Y88" s="3" t="s">
        <v>3</v>
      </c>
      <c r="Z88" s="3">
        <v>87.3</v>
      </c>
      <c r="AA88" s="3" t="s">
        <v>3</v>
      </c>
      <c r="AB88" s="3">
        <v>460.8</v>
      </c>
      <c r="AC88" s="3" t="s">
        <v>3</v>
      </c>
      <c r="AD88" s="3">
        <f t="shared" si="1"/>
        <v>87</v>
      </c>
    </row>
    <row r="89" ht="15" customHeight="1" spans="1:30">
      <c r="A89" s="3" t="s">
        <v>405</v>
      </c>
      <c r="B89" s="3" t="s">
        <v>405</v>
      </c>
      <c r="C89" s="3" t="s">
        <v>165</v>
      </c>
      <c r="D89" s="3" t="s">
        <v>54</v>
      </c>
      <c r="E89" s="3" t="s">
        <v>316</v>
      </c>
      <c r="F89" s="3" t="s">
        <v>317</v>
      </c>
      <c r="G89" s="3" t="s">
        <v>318</v>
      </c>
      <c r="H89" s="3">
        <v>96</v>
      </c>
      <c r="I89" s="3" t="s">
        <v>3</v>
      </c>
      <c r="J89" s="3">
        <v>77</v>
      </c>
      <c r="K89" s="3" t="s">
        <v>5</v>
      </c>
      <c r="L89" s="3">
        <v>69.5</v>
      </c>
      <c r="M89" s="3" t="s">
        <v>3</v>
      </c>
      <c r="N89" s="3">
        <v>64.5</v>
      </c>
      <c r="O89" s="3" t="s">
        <v>3</v>
      </c>
      <c r="P89" s="3">
        <v>41.5</v>
      </c>
      <c r="Q89" s="3" t="s">
        <v>3</v>
      </c>
      <c r="R89" s="3">
        <v>81.5</v>
      </c>
      <c r="S89" s="3" t="s">
        <v>406</v>
      </c>
      <c r="T89" s="3">
        <v>21.3</v>
      </c>
      <c r="U89" s="3" t="s">
        <v>5</v>
      </c>
      <c r="V89" s="3">
        <v>39</v>
      </c>
      <c r="W89" s="3" t="s">
        <v>406</v>
      </c>
      <c r="X89" s="3">
        <v>42.5</v>
      </c>
      <c r="Y89" s="3" t="s">
        <v>406</v>
      </c>
      <c r="Z89" s="3">
        <v>90.8</v>
      </c>
      <c r="AA89" s="3" t="s">
        <v>3</v>
      </c>
      <c r="AB89" s="3">
        <v>460.6</v>
      </c>
      <c r="AC89" s="3" t="s">
        <v>406</v>
      </c>
      <c r="AD89" s="3">
        <f t="shared" si="1"/>
        <v>88</v>
      </c>
    </row>
    <row r="90" ht="15" customHeight="1" spans="1:30">
      <c r="A90" s="3" t="s">
        <v>407</v>
      </c>
      <c r="B90" s="3" t="s">
        <v>407</v>
      </c>
      <c r="C90" s="3" t="s">
        <v>153</v>
      </c>
      <c r="D90" s="3" t="s">
        <v>51</v>
      </c>
      <c r="E90" s="3" t="s">
        <v>316</v>
      </c>
      <c r="F90" s="3" t="s">
        <v>317</v>
      </c>
      <c r="G90" s="3" t="s">
        <v>318</v>
      </c>
      <c r="H90" s="3">
        <v>95</v>
      </c>
      <c r="I90" s="3" t="s">
        <v>3</v>
      </c>
      <c r="J90" s="3">
        <v>83</v>
      </c>
      <c r="K90" s="3" t="s">
        <v>3</v>
      </c>
      <c r="L90" s="3">
        <v>61.5</v>
      </c>
      <c r="M90" s="3" t="s">
        <v>5</v>
      </c>
      <c r="N90" s="3">
        <v>54</v>
      </c>
      <c r="O90" s="3" t="s">
        <v>5</v>
      </c>
      <c r="P90" s="3">
        <v>42.5</v>
      </c>
      <c r="Q90" s="3" t="s">
        <v>3</v>
      </c>
      <c r="R90" s="3">
        <v>104</v>
      </c>
      <c r="S90" s="3" t="s">
        <v>3</v>
      </c>
      <c r="T90" s="3">
        <v>20.5</v>
      </c>
      <c r="U90" s="3" t="s">
        <v>5</v>
      </c>
      <c r="V90" s="3">
        <v>46</v>
      </c>
      <c r="W90" s="3" t="s">
        <v>3</v>
      </c>
      <c r="X90" s="3">
        <v>58</v>
      </c>
      <c r="Y90" s="3" t="s">
        <v>3</v>
      </c>
      <c r="Z90" s="3">
        <v>82</v>
      </c>
      <c r="AA90" s="3" t="s">
        <v>5</v>
      </c>
      <c r="AB90" s="3">
        <v>460.5</v>
      </c>
      <c r="AC90" s="3" t="s">
        <v>3</v>
      </c>
      <c r="AD90" s="3">
        <f t="shared" si="1"/>
        <v>89</v>
      </c>
    </row>
    <row r="91" ht="15" customHeight="1" spans="1:30">
      <c r="A91" s="3" t="s">
        <v>408</v>
      </c>
      <c r="B91" s="3" t="s">
        <v>408</v>
      </c>
      <c r="C91" s="3" t="s">
        <v>132</v>
      </c>
      <c r="D91" s="3" t="s">
        <v>56</v>
      </c>
      <c r="E91" s="3" t="s">
        <v>316</v>
      </c>
      <c r="F91" s="3" t="s">
        <v>317</v>
      </c>
      <c r="G91" s="3" t="s">
        <v>318</v>
      </c>
      <c r="H91" s="3">
        <v>95.5</v>
      </c>
      <c r="I91" s="3" t="s">
        <v>3</v>
      </c>
      <c r="J91" s="3">
        <v>86</v>
      </c>
      <c r="K91" s="3" t="s">
        <v>3</v>
      </c>
      <c r="L91" s="3">
        <v>62</v>
      </c>
      <c r="M91" s="3" t="s">
        <v>5</v>
      </c>
      <c r="N91" s="3">
        <v>55.5</v>
      </c>
      <c r="O91" s="3" t="s">
        <v>5</v>
      </c>
      <c r="P91" s="3">
        <v>43</v>
      </c>
      <c r="Q91" s="3" t="s">
        <v>3</v>
      </c>
      <c r="R91" s="3">
        <v>98</v>
      </c>
      <c r="S91" s="3" t="s">
        <v>5</v>
      </c>
      <c r="T91" s="3">
        <v>20.5</v>
      </c>
      <c r="U91" s="3" t="s">
        <v>5</v>
      </c>
      <c r="V91" s="3">
        <v>42.5</v>
      </c>
      <c r="W91" s="3" t="s">
        <v>5</v>
      </c>
      <c r="X91" s="3">
        <v>55.5</v>
      </c>
      <c r="Y91" s="3" t="s">
        <v>5</v>
      </c>
      <c r="Z91" s="3">
        <v>82.5</v>
      </c>
      <c r="AA91" s="3" t="s">
        <v>5</v>
      </c>
      <c r="AB91" s="3">
        <v>460.5</v>
      </c>
      <c r="AC91" s="3" t="s">
        <v>3</v>
      </c>
      <c r="AD91" s="3">
        <f t="shared" si="1"/>
        <v>89</v>
      </c>
    </row>
    <row r="92" ht="15" customHeight="1" spans="1:30">
      <c r="A92" s="3" t="s">
        <v>409</v>
      </c>
      <c r="B92" s="3" t="s">
        <v>409</v>
      </c>
      <c r="C92" s="3" t="s">
        <v>137</v>
      </c>
      <c r="D92" s="3" t="s">
        <v>56</v>
      </c>
      <c r="E92" s="3" t="s">
        <v>316</v>
      </c>
      <c r="F92" s="3" t="s">
        <v>317</v>
      </c>
      <c r="G92" s="3" t="s">
        <v>318</v>
      </c>
      <c r="H92" s="3">
        <v>88</v>
      </c>
      <c r="I92" s="3" t="s">
        <v>5</v>
      </c>
      <c r="J92" s="3">
        <v>88</v>
      </c>
      <c r="K92" s="3" t="s">
        <v>3</v>
      </c>
      <c r="L92" s="3">
        <v>68.5</v>
      </c>
      <c r="M92" s="3" t="s">
        <v>3</v>
      </c>
      <c r="N92" s="3">
        <v>56.5</v>
      </c>
      <c r="O92" s="3" t="s">
        <v>5</v>
      </c>
      <c r="P92" s="3">
        <v>39.5</v>
      </c>
      <c r="Q92" s="3" t="s">
        <v>5</v>
      </c>
      <c r="R92" s="3">
        <v>98</v>
      </c>
      <c r="S92" s="3" t="s">
        <v>5</v>
      </c>
      <c r="T92" s="3">
        <v>21.9</v>
      </c>
      <c r="U92" s="3" t="s">
        <v>5</v>
      </c>
      <c r="V92" s="3">
        <v>42.5</v>
      </c>
      <c r="W92" s="3" t="s">
        <v>5</v>
      </c>
      <c r="X92" s="3">
        <v>55.5</v>
      </c>
      <c r="Y92" s="3" t="s">
        <v>5</v>
      </c>
      <c r="Z92" s="3">
        <v>90.4</v>
      </c>
      <c r="AA92" s="3" t="s">
        <v>3</v>
      </c>
      <c r="AB92" s="3">
        <v>460.4</v>
      </c>
      <c r="AC92" s="3" t="s">
        <v>3</v>
      </c>
      <c r="AD92" s="3">
        <f t="shared" si="1"/>
        <v>91</v>
      </c>
    </row>
    <row r="93" ht="15" customHeight="1" spans="1:30">
      <c r="A93" s="3" t="s">
        <v>410</v>
      </c>
      <c r="B93" s="3" t="s">
        <v>410</v>
      </c>
      <c r="C93" s="3" t="s">
        <v>141</v>
      </c>
      <c r="D93" s="3" t="s">
        <v>55</v>
      </c>
      <c r="E93" s="3" t="s">
        <v>316</v>
      </c>
      <c r="F93" s="3" t="s">
        <v>317</v>
      </c>
      <c r="G93" s="3" t="s">
        <v>318</v>
      </c>
      <c r="H93" s="3">
        <v>91.5</v>
      </c>
      <c r="I93" s="3" t="s">
        <v>5</v>
      </c>
      <c r="J93" s="3">
        <v>80</v>
      </c>
      <c r="K93" s="3" t="s">
        <v>5</v>
      </c>
      <c r="L93" s="3">
        <v>62.5</v>
      </c>
      <c r="M93" s="3" t="s">
        <v>5</v>
      </c>
      <c r="N93" s="3">
        <v>57.5</v>
      </c>
      <c r="O93" s="3" t="s">
        <v>5</v>
      </c>
      <c r="P93" s="3">
        <v>38.5</v>
      </c>
      <c r="Q93" s="3" t="s">
        <v>5</v>
      </c>
      <c r="R93" s="3">
        <v>106</v>
      </c>
      <c r="S93" s="3" t="s">
        <v>3</v>
      </c>
      <c r="T93" s="3">
        <v>24</v>
      </c>
      <c r="U93" s="3" t="s">
        <v>2</v>
      </c>
      <c r="V93" s="3">
        <v>44.5</v>
      </c>
      <c r="W93" s="3" t="s">
        <v>3</v>
      </c>
      <c r="X93" s="3">
        <v>61.5</v>
      </c>
      <c r="Y93" s="3" t="s">
        <v>3</v>
      </c>
      <c r="Z93" s="3">
        <v>86.5</v>
      </c>
      <c r="AA93" s="3" t="s">
        <v>3</v>
      </c>
      <c r="AB93" s="3">
        <v>460</v>
      </c>
      <c r="AC93" s="3" t="s">
        <v>3</v>
      </c>
      <c r="AD93" s="3">
        <f t="shared" si="1"/>
        <v>92</v>
      </c>
    </row>
    <row r="94" ht="15" customHeight="1" spans="1:30">
      <c r="A94" s="3" t="s">
        <v>411</v>
      </c>
      <c r="B94" s="3" t="s">
        <v>411</v>
      </c>
      <c r="C94" s="3" t="s">
        <v>170</v>
      </c>
      <c r="D94" s="3" t="s">
        <v>54</v>
      </c>
      <c r="E94" s="3" t="s">
        <v>316</v>
      </c>
      <c r="F94" s="3" t="s">
        <v>317</v>
      </c>
      <c r="G94" s="3" t="s">
        <v>318</v>
      </c>
      <c r="H94" s="3">
        <v>96</v>
      </c>
      <c r="I94" s="3" t="s">
        <v>3</v>
      </c>
      <c r="J94" s="3">
        <v>85</v>
      </c>
      <c r="K94" s="3" t="s">
        <v>3</v>
      </c>
      <c r="L94" s="3">
        <v>66</v>
      </c>
      <c r="M94" s="3" t="s">
        <v>3</v>
      </c>
      <c r="N94" s="3">
        <v>57</v>
      </c>
      <c r="O94" s="3" t="s">
        <v>5</v>
      </c>
      <c r="P94" s="3">
        <v>45</v>
      </c>
      <c r="Q94" s="3" t="s">
        <v>3</v>
      </c>
      <c r="R94" s="3">
        <v>92</v>
      </c>
      <c r="S94" s="3" t="s">
        <v>5</v>
      </c>
      <c r="T94" s="3">
        <v>18.5</v>
      </c>
      <c r="U94" s="3" t="s">
        <v>5</v>
      </c>
      <c r="V94" s="3">
        <v>39.5</v>
      </c>
      <c r="W94" s="3" t="s">
        <v>5</v>
      </c>
      <c r="X94" s="3">
        <v>52.5</v>
      </c>
      <c r="Y94" s="3" t="s">
        <v>5</v>
      </c>
      <c r="Z94" s="3">
        <v>84.5</v>
      </c>
      <c r="AA94" s="3" t="s">
        <v>5</v>
      </c>
      <c r="AB94" s="3">
        <v>459.5</v>
      </c>
      <c r="AC94" s="3" t="s">
        <v>3</v>
      </c>
      <c r="AD94" s="3">
        <f t="shared" si="1"/>
        <v>93</v>
      </c>
    </row>
    <row r="95" ht="15" customHeight="1" spans="1:30">
      <c r="A95" s="3" t="s">
        <v>412</v>
      </c>
      <c r="B95" s="3" t="s">
        <v>412</v>
      </c>
      <c r="C95" s="3" t="s">
        <v>142</v>
      </c>
      <c r="D95" s="3" t="s">
        <v>56</v>
      </c>
      <c r="E95" s="3" t="s">
        <v>316</v>
      </c>
      <c r="F95" s="3" t="s">
        <v>317</v>
      </c>
      <c r="G95" s="3" t="s">
        <v>318</v>
      </c>
      <c r="H95" s="3">
        <v>96.5</v>
      </c>
      <c r="I95" s="3" t="s">
        <v>3</v>
      </c>
      <c r="J95" s="3">
        <v>83</v>
      </c>
      <c r="K95" s="3" t="s">
        <v>3</v>
      </c>
      <c r="L95" s="3">
        <v>68.5</v>
      </c>
      <c r="M95" s="3" t="s">
        <v>3</v>
      </c>
      <c r="N95" s="3">
        <v>60</v>
      </c>
      <c r="O95" s="3" t="s">
        <v>3</v>
      </c>
      <c r="P95" s="3">
        <v>36</v>
      </c>
      <c r="Q95" s="3" t="s">
        <v>7</v>
      </c>
      <c r="R95" s="3">
        <v>92.5</v>
      </c>
      <c r="S95" s="3" t="s">
        <v>5</v>
      </c>
      <c r="T95" s="3">
        <v>22.9</v>
      </c>
      <c r="U95" s="3" t="s">
        <v>3</v>
      </c>
      <c r="V95" s="3">
        <v>43.5</v>
      </c>
      <c r="W95" s="3" t="s">
        <v>5</v>
      </c>
      <c r="X95" s="3">
        <v>49</v>
      </c>
      <c r="Y95" s="3" t="s">
        <v>5</v>
      </c>
      <c r="Z95" s="3">
        <v>91.4</v>
      </c>
      <c r="AA95" s="3" t="s">
        <v>3</v>
      </c>
      <c r="AB95" s="3">
        <v>459.4</v>
      </c>
      <c r="AC95" s="3" t="s">
        <v>3</v>
      </c>
      <c r="AD95" s="3">
        <f t="shared" si="1"/>
        <v>94</v>
      </c>
    </row>
    <row r="96" ht="15" customHeight="1" spans="1:30">
      <c r="A96" s="3" t="s">
        <v>413</v>
      </c>
      <c r="B96" s="3" t="s">
        <v>413</v>
      </c>
      <c r="C96" s="3" t="s">
        <v>175</v>
      </c>
      <c r="D96" s="3" t="s">
        <v>54</v>
      </c>
      <c r="E96" s="3" t="s">
        <v>316</v>
      </c>
      <c r="F96" s="3" t="s">
        <v>317</v>
      </c>
      <c r="G96" s="3" t="s">
        <v>318</v>
      </c>
      <c r="H96" s="3">
        <v>91.5</v>
      </c>
      <c r="I96" s="3" t="s">
        <v>5</v>
      </c>
      <c r="J96" s="3">
        <v>84</v>
      </c>
      <c r="K96" s="3" t="s">
        <v>3</v>
      </c>
      <c r="L96" s="3">
        <v>64</v>
      </c>
      <c r="M96" s="3" t="s">
        <v>3</v>
      </c>
      <c r="N96" s="3">
        <v>57.5</v>
      </c>
      <c r="O96" s="3" t="s">
        <v>5</v>
      </c>
      <c r="P96" s="3">
        <v>44.5</v>
      </c>
      <c r="Q96" s="3" t="s">
        <v>3</v>
      </c>
      <c r="R96" s="3">
        <v>97</v>
      </c>
      <c r="S96" s="3" t="s">
        <v>5</v>
      </c>
      <c r="T96" s="3">
        <v>20.8</v>
      </c>
      <c r="U96" s="3" t="s">
        <v>5</v>
      </c>
      <c r="V96" s="3">
        <v>39</v>
      </c>
      <c r="W96" s="3" t="s">
        <v>5</v>
      </c>
      <c r="X96" s="3">
        <v>58</v>
      </c>
      <c r="Y96" s="3" t="s">
        <v>3</v>
      </c>
      <c r="Z96" s="3">
        <v>84.8</v>
      </c>
      <c r="AA96" s="3" t="s">
        <v>5</v>
      </c>
      <c r="AB96" s="3">
        <v>459.3</v>
      </c>
      <c r="AC96" s="3" t="s">
        <v>3</v>
      </c>
      <c r="AD96" s="3">
        <f t="shared" si="1"/>
        <v>95</v>
      </c>
    </row>
    <row r="97" ht="15" customHeight="1" spans="1:30">
      <c r="A97" s="3" t="s">
        <v>414</v>
      </c>
      <c r="B97" s="3" t="s">
        <v>414</v>
      </c>
      <c r="C97" s="3" t="s">
        <v>147</v>
      </c>
      <c r="D97" s="3" t="s">
        <v>56</v>
      </c>
      <c r="E97" s="3" t="s">
        <v>316</v>
      </c>
      <c r="F97" s="3" t="s">
        <v>317</v>
      </c>
      <c r="G97" s="3" t="s">
        <v>318</v>
      </c>
      <c r="H97" s="3">
        <v>95.5</v>
      </c>
      <c r="I97" s="3" t="s">
        <v>3</v>
      </c>
      <c r="J97" s="3">
        <v>81</v>
      </c>
      <c r="K97" s="3" t="s">
        <v>5</v>
      </c>
      <c r="L97" s="3">
        <v>70.5</v>
      </c>
      <c r="M97" s="3" t="s">
        <v>3</v>
      </c>
      <c r="N97" s="3">
        <v>56.5</v>
      </c>
      <c r="O97" s="3" t="s">
        <v>5</v>
      </c>
      <c r="P97" s="3">
        <v>42.5</v>
      </c>
      <c r="Q97" s="3" t="s">
        <v>3</v>
      </c>
      <c r="R97" s="3">
        <v>90</v>
      </c>
      <c r="S97" s="3" t="s">
        <v>5</v>
      </c>
      <c r="T97" s="3">
        <v>23.3</v>
      </c>
      <c r="U97" s="3" t="s">
        <v>3</v>
      </c>
      <c r="V97" s="3">
        <v>42.5</v>
      </c>
      <c r="W97" s="3" t="s">
        <v>5</v>
      </c>
      <c r="X97" s="3">
        <v>47.5</v>
      </c>
      <c r="Y97" s="3" t="s">
        <v>5</v>
      </c>
      <c r="Z97" s="3">
        <v>93.8</v>
      </c>
      <c r="AA97" s="3" t="s">
        <v>3</v>
      </c>
      <c r="AB97" s="3">
        <v>459.3</v>
      </c>
      <c r="AC97" s="3" t="s">
        <v>3</v>
      </c>
      <c r="AD97" s="3">
        <f t="shared" si="1"/>
        <v>95</v>
      </c>
    </row>
    <row r="98" ht="15" customHeight="1" spans="1:30">
      <c r="A98" s="3" t="s">
        <v>415</v>
      </c>
      <c r="B98" s="3" t="s">
        <v>415</v>
      </c>
      <c r="C98" s="3" t="s">
        <v>146</v>
      </c>
      <c r="D98" s="3" t="s">
        <v>55</v>
      </c>
      <c r="E98" s="3" t="s">
        <v>316</v>
      </c>
      <c r="F98" s="3" t="s">
        <v>317</v>
      </c>
      <c r="G98" s="3" t="s">
        <v>318</v>
      </c>
      <c r="H98" s="3">
        <v>92</v>
      </c>
      <c r="I98" s="3" t="s">
        <v>5</v>
      </c>
      <c r="J98" s="3">
        <v>86</v>
      </c>
      <c r="K98" s="3" t="s">
        <v>3</v>
      </c>
      <c r="L98" s="3">
        <v>66.5</v>
      </c>
      <c r="M98" s="3" t="s">
        <v>3</v>
      </c>
      <c r="N98" s="3">
        <v>54</v>
      </c>
      <c r="O98" s="3" t="s">
        <v>5</v>
      </c>
      <c r="P98" s="3">
        <v>39.5</v>
      </c>
      <c r="Q98" s="3" t="s">
        <v>5</v>
      </c>
      <c r="R98" s="3">
        <v>97.5</v>
      </c>
      <c r="S98" s="3" t="s">
        <v>5</v>
      </c>
      <c r="T98" s="3">
        <v>23.6</v>
      </c>
      <c r="U98" s="3" t="s">
        <v>3</v>
      </c>
      <c r="V98" s="3">
        <v>40.5</v>
      </c>
      <c r="W98" s="3" t="s">
        <v>5</v>
      </c>
      <c r="X98" s="3">
        <v>57</v>
      </c>
      <c r="Y98" s="3" t="s">
        <v>3</v>
      </c>
      <c r="Z98" s="3">
        <v>90.1</v>
      </c>
      <c r="AA98" s="3" t="s">
        <v>3</v>
      </c>
      <c r="AB98" s="3">
        <v>459.1</v>
      </c>
      <c r="AC98" s="3" t="s">
        <v>3</v>
      </c>
      <c r="AD98" s="3">
        <f t="shared" si="1"/>
        <v>97</v>
      </c>
    </row>
    <row r="99" ht="15" customHeight="1" spans="1:30">
      <c r="A99" s="3" t="s">
        <v>416</v>
      </c>
      <c r="B99" s="3" t="s">
        <v>416</v>
      </c>
      <c r="C99" s="3" t="s">
        <v>144</v>
      </c>
      <c r="D99" s="3" t="s">
        <v>53</v>
      </c>
      <c r="E99" s="3" t="s">
        <v>316</v>
      </c>
      <c r="F99" s="3" t="s">
        <v>317</v>
      </c>
      <c r="G99" s="3" t="s">
        <v>318</v>
      </c>
      <c r="H99" s="3">
        <v>98</v>
      </c>
      <c r="I99" s="3" t="s">
        <v>3</v>
      </c>
      <c r="J99" s="3">
        <v>80</v>
      </c>
      <c r="K99" s="3" t="s">
        <v>5</v>
      </c>
      <c r="L99" s="3">
        <v>67</v>
      </c>
      <c r="M99" s="3" t="s">
        <v>3</v>
      </c>
      <c r="N99" s="3">
        <v>61.5</v>
      </c>
      <c r="O99" s="3" t="s">
        <v>3</v>
      </c>
      <c r="P99" s="3">
        <v>41.5</v>
      </c>
      <c r="Q99" s="3" t="s">
        <v>3</v>
      </c>
      <c r="R99" s="3">
        <v>85.5</v>
      </c>
      <c r="S99" s="3" t="s">
        <v>5</v>
      </c>
      <c r="T99" s="3">
        <v>22.3</v>
      </c>
      <c r="U99" s="3" t="s">
        <v>3</v>
      </c>
      <c r="V99" s="3">
        <v>38.5</v>
      </c>
      <c r="W99" s="3" t="s">
        <v>5</v>
      </c>
      <c r="X99" s="3">
        <v>47</v>
      </c>
      <c r="Y99" s="3" t="s">
        <v>5</v>
      </c>
      <c r="Z99" s="3">
        <v>89.3</v>
      </c>
      <c r="AA99" s="3" t="s">
        <v>3</v>
      </c>
      <c r="AB99" s="3">
        <v>455.8</v>
      </c>
      <c r="AC99" s="3" t="s">
        <v>5</v>
      </c>
      <c r="AD99" s="3">
        <f t="shared" si="1"/>
        <v>98</v>
      </c>
    </row>
    <row r="100" ht="15" customHeight="1" spans="1:30">
      <c r="A100" s="3" t="s">
        <v>417</v>
      </c>
      <c r="B100" s="3" t="s">
        <v>417</v>
      </c>
      <c r="C100" s="3" t="s">
        <v>180</v>
      </c>
      <c r="D100" s="3" t="s">
        <v>54</v>
      </c>
      <c r="E100" s="3" t="s">
        <v>316</v>
      </c>
      <c r="F100" s="3" t="s">
        <v>317</v>
      </c>
      <c r="G100" s="3" t="s">
        <v>318</v>
      </c>
      <c r="H100" s="3">
        <v>94</v>
      </c>
      <c r="I100" s="3" t="s">
        <v>3</v>
      </c>
      <c r="J100" s="3">
        <v>83</v>
      </c>
      <c r="K100" s="3" t="s">
        <v>3</v>
      </c>
      <c r="L100" s="3">
        <v>64.5</v>
      </c>
      <c r="M100" s="3" t="s">
        <v>3</v>
      </c>
      <c r="N100" s="3">
        <v>61</v>
      </c>
      <c r="O100" s="3" t="s">
        <v>3</v>
      </c>
      <c r="P100" s="3">
        <v>47</v>
      </c>
      <c r="Q100" s="3" t="s">
        <v>2</v>
      </c>
      <c r="R100" s="3">
        <v>83</v>
      </c>
      <c r="S100" s="3" t="s">
        <v>7</v>
      </c>
      <c r="T100" s="3">
        <v>22.9</v>
      </c>
      <c r="U100" s="3" t="s">
        <v>3</v>
      </c>
      <c r="V100" s="3">
        <v>36</v>
      </c>
      <c r="W100" s="3" t="s">
        <v>7</v>
      </c>
      <c r="X100" s="3">
        <v>47</v>
      </c>
      <c r="Y100" s="3" t="s">
        <v>5</v>
      </c>
      <c r="Z100" s="3">
        <v>87.4</v>
      </c>
      <c r="AA100" s="3" t="s">
        <v>3</v>
      </c>
      <c r="AB100" s="3">
        <v>455.4</v>
      </c>
      <c r="AC100" s="3" t="s">
        <v>5</v>
      </c>
      <c r="AD100" s="3">
        <f t="shared" si="1"/>
        <v>99</v>
      </c>
    </row>
    <row r="101" ht="15" customHeight="1" spans="1:30">
      <c r="A101" s="3" t="s">
        <v>418</v>
      </c>
      <c r="B101" s="3" t="s">
        <v>418</v>
      </c>
      <c r="C101" s="3" t="s">
        <v>152</v>
      </c>
      <c r="D101" s="3" t="s">
        <v>56</v>
      </c>
      <c r="E101" s="3" t="s">
        <v>316</v>
      </c>
      <c r="F101" s="3" t="s">
        <v>317</v>
      </c>
      <c r="G101" s="3" t="s">
        <v>318</v>
      </c>
      <c r="H101" s="3">
        <v>98</v>
      </c>
      <c r="I101" s="3" t="s">
        <v>3</v>
      </c>
      <c r="J101" s="3">
        <v>79</v>
      </c>
      <c r="K101" s="3" t="s">
        <v>5</v>
      </c>
      <c r="L101" s="3">
        <v>66.5</v>
      </c>
      <c r="M101" s="3" t="s">
        <v>3</v>
      </c>
      <c r="N101" s="3">
        <v>59</v>
      </c>
      <c r="O101" s="3" t="s">
        <v>5</v>
      </c>
      <c r="P101" s="3">
        <v>45.5</v>
      </c>
      <c r="Q101" s="3" t="s">
        <v>2</v>
      </c>
      <c r="R101" s="3">
        <v>86.5</v>
      </c>
      <c r="S101" s="3" t="s">
        <v>5</v>
      </c>
      <c r="T101" s="3">
        <v>20.6</v>
      </c>
      <c r="U101" s="3" t="s">
        <v>5</v>
      </c>
      <c r="V101" s="3">
        <v>39</v>
      </c>
      <c r="W101" s="3" t="s">
        <v>5</v>
      </c>
      <c r="X101" s="3">
        <v>47.5</v>
      </c>
      <c r="Y101" s="3" t="s">
        <v>5</v>
      </c>
      <c r="Z101" s="3">
        <v>87.1</v>
      </c>
      <c r="AA101" s="3" t="s">
        <v>3</v>
      </c>
      <c r="AB101" s="3">
        <v>455.1</v>
      </c>
      <c r="AC101" s="3" t="s">
        <v>5</v>
      </c>
      <c r="AD101" s="3">
        <f t="shared" si="1"/>
        <v>100</v>
      </c>
    </row>
    <row r="102" ht="15" customHeight="1" spans="1:30">
      <c r="A102" s="3" t="s">
        <v>419</v>
      </c>
      <c r="B102" s="3" t="s">
        <v>419</v>
      </c>
      <c r="C102" s="3" t="s">
        <v>158</v>
      </c>
      <c r="D102" s="3" t="s">
        <v>51</v>
      </c>
      <c r="E102" s="3" t="s">
        <v>316</v>
      </c>
      <c r="F102" s="3" t="s">
        <v>317</v>
      </c>
      <c r="G102" s="3" t="s">
        <v>318</v>
      </c>
      <c r="H102" s="3">
        <v>87</v>
      </c>
      <c r="I102" s="3" t="s">
        <v>5</v>
      </c>
      <c r="J102" s="3">
        <v>84</v>
      </c>
      <c r="K102" s="3" t="s">
        <v>3</v>
      </c>
      <c r="L102" s="3">
        <v>69</v>
      </c>
      <c r="M102" s="3" t="s">
        <v>3</v>
      </c>
      <c r="N102" s="3">
        <v>59.5</v>
      </c>
      <c r="O102" s="3" t="s">
        <v>3</v>
      </c>
      <c r="P102" s="3">
        <v>37.5</v>
      </c>
      <c r="Q102" s="3" t="s">
        <v>5</v>
      </c>
      <c r="R102" s="3">
        <v>95.5</v>
      </c>
      <c r="S102" s="3" t="s">
        <v>5</v>
      </c>
      <c r="T102" s="3">
        <v>22.3</v>
      </c>
      <c r="U102" s="3" t="s">
        <v>3</v>
      </c>
      <c r="V102" s="3">
        <v>44</v>
      </c>
      <c r="W102" s="3" t="s">
        <v>5</v>
      </c>
      <c r="X102" s="3">
        <v>51.5</v>
      </c>
      <c r="Y102" s="3" t="s">
        <v>5</v>
      </c>
      <c r="Z102" s="3">
        <v>91.3</v>
      </c>
      <c r="AA102" s="3" t="s">
        <v>3</v>
      </c>
      <c r="AB102" s="3">
        <v>454.8</v>
      </c>
      <c r="AC102" s="3" t="s">
        <v>5</v>
      </c>
      <c r="AD102" s="3">
        <f t="shared" si="1"/>
        <v>101</v>
      </c>
    </row>
    <row r="103" ht="15" customHeight="1" spans="1:30">
      <c r="A103" s="3" t="s">
        <v>420</v>
      </c>
      <c r="B103" s="3" t="s">
        <v>420</v>
      </c>
      <c r="C103" s="3" t="s">
        <v>151</v>
      </c>
      <c r="D103" s="3" t="s">
        <v>55</v>
      </c>
      <c r="E103" s="3" t="s">
        <v>316</v>
      </c>
      <c r="F103" s="3" t="s">
        <v>317</v>
      </c>
      <c r="G103" s="3" t="s">
        <v>318</v>
      </c>
      <c r="H103" s="3">
        <v>89</v>
      </c>
      <c r="I103" s="3" t="s">
        <v>5</v>
      </c>
      <c r="J103" s="3">
        <v>85</v>
      </c>
      <c r="K103" s="3" t="s">
        <v>3</v>
      </c>
      <c r="L103" s="3">
        <v>66.5</v>
      </c>
      <c r="M103" s="3" t="s">
        <v>3</v>
      </c>
      <c r="N103" s="3">
        <v>57</v>
      </c>
      <c r="O103" s="3" t="s">
        <v>5</v>
      </c>
      <c r="P103" s="3">
        <v>40</v>
      </c>
      <c r="Q103" s="3" t="s">
        <v>5</v>
      </c>
      <c r="R103" s="3">
        <v>92.5</v>
      </c>
      <c r="S103" s="3" t="s">
        <v>5</v>
      </c>
      <c r="T103" s="3">
        <v>20.9</v>
      </c>
      <c r="U103" s="3" t="s">
        <v>5</v>
      </c>
      <c r="V103" s="3">
        <v>41</v>
      </c>
      <c r="W103" s="3" t="s">
        <v>5</v>
      </c>
      <c r="X103" s="3">
        <v>51.5</v>
      </c>
      <c r="Y103" s="3" t="s">
        <v>5</v>
      </c>
      <c r="Z103" s="3">
        <v>87.4</v>
      </c>
      <c r="AA103" s="3" t="s">
        <v>3</v>
      </c>
      <c r="AB103" s="3">
        <v>450.9</v>
      </c>
      <c r="AC103" s="3" t="s">
        <v>5</v>
      </c>
      <c r="AD103" s="3">
        <f t="shared" si="1"/>
        <v>102</v>
      </c>
    </row>
    <row r="104" ht="15" customHeight="1" spans="1:30">
      <c r="A104" s="3" t="s">
        <v>421</v>
      </c>
      <c r="B104" s="3" t="s">
        <v>421</v>
      </c>
      <c r="C104" s="3" t="s">
        <v>156</v>
      </c>
      <c r="D104" s="3" t="s">
        <v>55</v>
      </c>
      <c r="E104" s="3" t="s">
        <v>316</v>
      </c>
      <c r="F104" s="3" t="s">
        <v>317</v>
      </c>
      <c r="G104" s="3" t="s">
        <v>318</v>
      </c>
      <c r="H104" s="3">
        <v>87.5</v>
      </c>
      <c r="I104" s="3" t="s">
        <v>5</v>
      </c>
      <c r="J104" s="3">
        <v>84</v>
      </c>
      <c r="K104" s="3" t="s">
        <v>3</v>
      </c>
      <c r="L104" s="3">
        <v>62</v>
      </c>
      <c r="M104" s="3" t="s">
        <v>5</v>
      </c>
      <c r="N104" s="3">
        <v>60</v>
      </c>
      <c r="O104" s="3" t="s">
        <v>3</v>
      </c>
      <c r="P104" s="3">
        <v>41.5</v>
      </c>
      <c r="Q104" s="3" t="s">
        <v>3</v>
      </c>
      <c r="R104" s="3">
        <v>93</v>
      </c>
      <c r="S104" s="3" t="s">
        <v>5</v>
      </c>
      <c r="T104" s="3">
        <v>22.1</v>
      </c>
      <c r="U104" s="3" t="s">
        <v>3</v>
      </c>
      <c r="V104" s="3">
        <v>44.5</v>
      </c>
      <c r="W104" s="3" t="s">
        <v>3</v>
      </c>
      <c r="X104" s="3">
        <v>48.5</v>
      </c>
      <c r="Y104" s="3" t="s">
        <v>5</v>
      </c>
      <c r="Z104" s="3">
        <v>84.1</v>
      </c>
      <c r="AA104" s="3" t="s">
        <v>5</v>
      </c>
      <c r="AB104" s="3">
        <v>450.1</v>
      </c>
      <c r="AC104" s="3" t="s">
        <v>5</v>
      </c>
      <c r="AD104" s="3">
        <f t="shared" si="1"/>
        <v>103</v>
      </c>
    </row>
    <row r="105" ht="15" customHeight="1" spans="1:30">
      <c r="A105" s="3" t="s">
        <v>422</v>
      </c>
      <c r="B105" s="3" t="s">
        <v>422</v>
      </c>
      <c r="C105" s="3" t="s">
        <v>185</v>
      </c>
      <c r="D105" s="3" t="s">
        <v>54</v>
      </c>
      <c r="E105" s="3" t="s">
        <v>316</v>
      </c>
      <c r="F105" s="3" t="s">
        <v>317</v>
      </c>
      <c r="G105" s="3" t="s">
        <v>318</v>
      </c>
      <c r="H105" s="3">
        <v>88.5</v>
      </c>
      <c r="I105" s="3" t="s">
        <v>5</v>
      </c>
      <c r="J105" s="3">
        <v>84</v>
      </c>
      <c r="K105" s="3" t="s">
        <v>3</v>
      </c>
      <c r="L105" s="3">
        <v>71.5</v>
      </c>
      <c r="M105" s="3" t="s">
        <v>2</v>
      </c>
      <c r="N105" s="3">
        <v>48.5</v>
      </c>
      <c r="O105" s="3" t="s">
        <v>7</v>
      </c>
      <c r="P105" s="3">
        <v>39.5</v>
      </c>
      <c r="Q105" s="3" t="s">
        <v>5</v>
      </c>
      <c r="R105" s="3">
        <v>93.5</v>
      </c>
      <c r="S105" s="3" t="s">
        <v>406</v>
      </c>
      <c r="T105" s="3">
        <v>23.9</v>
      </c>
      <c r="U105" s="3" t="s">
        <v>2</v>
      </c>
      <c r="V105" s="3">
        <v>42.5</v>
      </c>
      <c r="W105" s="3" t="s">
        <v>406</v>
      </c>
      <c r="X105" s="3">
        <v>51</v>
      </c>
      <c r="Y105" s="3" t="s">
        <v>406</v>
      </c>
      <c r="Z105" s="3">
        <v>95.4</v>
      </c>
      <c r="AA105" s="3" t="s">
        <v>2</v>
      </c>
      <c r="AB105" s="3">
        <v>449.4</v>
      </c>
      <c r="AC105" s="3" t="s">
        <v>406</v>
      </c>
      <c r="AD105" s="3">
        <f t="shared" si="1"/>
        <v>104</v>
      </c>
    </row>
    <row r="106" ht="15" customHeight="1" spans="1:30">
      <c r="A106" s="3" t="s">
        <v>423</v>
      </c>
      <c r="B106" s="3" t="s">
        <v>423</v>
      </c>
      <c r="C106" s="3" t="s">
        <v>149</v>
      </c>
      <c r="D106" s="3" t="s">
        <v>53</v>
      </c>
      <c r="E106" s="3" t="s">
        <v>316</v>
      </c>
      <c r="F106" s="3" t="s">
        <v>317</v>
      </c>
      <c r="G106" s="3" t="s">
        <v>318</v>
      </c>
      <c r="H106" s="3">
        <v>86.5</v>
      </c>
      <c r="I106" s="3" t="s">
        <v>5</v>
      </c>
      <c r="J106" s="3">
        <v>85</v>
      </c>
      <c r="K106" s="3" t="s">
        <v>3</v>
      </c>
      <c r="L106" s="3">
        <v>63</v>
      </c>
      <c r="M106" s="3" t="s">
        <v>5</v>
      </c>
      <c r="N106" s="3">
        <v>54</v>
      </c>
      <c r="O106" s="3" t="s">
        <v>5</v>
      </c>
      <c r="P106" s="3">
        <v>38</v>
      </c>
      <c r="Q106" s="3" t="s">
        <v>5</v>
      </c>
      <c r="R106" s="3">
        <v>100</v>
      </c>
      <c r="S106" s="3" t="s">
        <v>5</v>
      </c>
      <c r="T106" s="3">
        <v>22.4</v>
      </c>
      <c r="U106" s="3" t="s">
        <v>3</v>
      </c>
      <c r="V106" s="3">
        <v>43.5</v>
      </c>
      <c r="W106" s="3" t="s">
        <v>5</v>
      </c>
      <c r="X106" s="3">
        <v>56.5</v>
      </c>
      <c r="Y106" s="3" t="s">
        <v>5</v>
      </c>
      <c r="Z106" s="3">
        <v>85.4</v>
      </c>
      <c r="AA106" s="3" t="s">
        <v>3</v>
      </c>
      <c r="AB106" s="3">
        <v>448.9</v>
      </c>
      <c r="AC106" s="3" t="s">
        <v>5</v>
      </c>
      <c r="AD106" s="3">
        <f t="shared" si="1"/>
        <v>105</v>
      </c>
    </row>
    <row r="107" ht="15" customHeight="1" spans="1:30">
      <c r="A107" s="3" t="s">
        <v>424</v>
      </c>
      <c r="B107" s="3" t="s">
        <v>424</v>
      </c>
      <c r="C107" s="3" t="s">
        <v>161</v>
      </c>
      <c r="D107" s="3" t="s">
        <v>55</v>
      </c>
      <c r="E107" s="3" t="s">
        <v>316</v>
      </c>
      <c r="F107" s="3" t="s">
        <v>317</v>
      </c>
      <c r="G107" s="3" t="s">
        <v>318</v>
      </c>
      <c r="H107" s="3">
        <v>90.5</v>
      </c>
      <c r="I107" s="3" t="s">
        <v>5</v>
      </c>
      <c r="J107" s="3">
        <v>79</v>
      </c>
      <c r="K107" s="3" t="s">
        <v>5</v>
      </c>
      <c r="L107" s="3">
        <v>69.5</v>
      </c>
      <c r="M107" s="3" t="s">
        <v>3</v>
      </c>
      <c r="N107" s="3">
        <v>54</v>
      </c>
      <c r="O107" s="3" t="s">
        <v>5</v>
      </c>
      <c r="P107" s="3">
        <v>43.5</v>
      </c>
      <c r="Q107" s="3" t="s">
        <v>3</v>
      </c>
      <c r="R107" s="3">
        <v>90.5</v>
      </c>
      <c r="S107" s="3" t="s">
        <v>5</v>
      </c>
      <c r="T107" s="3">
        <v>21.3</v>
      </c>
      <c r="U107" s="3" t="s">
        <v>5</v>
      </c>
      <c r="V107" s="3">
        <v>40</v>
      </c>
      <c r="W107" s="3" t="s">
        <v>5</v>
      </c>
      <c r="X107" s="3">
        <v>50.5</v>
      </c>
      <c r="Y107" s="3" t="s">
        <v>5</v>
      </c>
      <c r="Z107" s="3">
        <v>90.8</v>
      </c>
      <c r="AA107" s="3" t="s">
        <v>3</v>
      </c>
      <c r="AB107" s="3">
        <v>448.3</v>
      </c>
      <c r="AC107" s="3" t="s">
        <v>5</v>
      </c>
      <c r="AD107" s="3">
        <f t="shared" si="1"/>
        <v>106</v>
      </c>
    </row>
    <row r="108" ht="15" customHeight="1" spans="1:30">
      <c r="A108" s="3" t="s">
        <v>425</v>
      </c>
      <c r="B108" s="3" t="s">
        <v>425</v>
      </c>
      <c r="C108" s="3" t="s">
        <v>190</v>
      </c>
      <c r="D108" s="3" t="s">
        <v>54</v>
      </c>
      <c r="E108" s="3" t="s">
        <v>316</v>
      </c>
      <c r="F108" s="3" t="s">
        <v>317</v>
      </c>
      <c r="G108" s="3" t="s">
        <v>318</v>
      </c>
      <c r="H108" s="3">
        <v>96</v>
      </c>
      <c r="I108" s="3" t="s">
        <v>3</v>
      </c>
      <c r="J108" s="3">
        <v>79</v>
      </c>
      <c r="K108" s="3" t="s">
        <v>5</v>
      </c>
      <c r="L108" s="3">
        <v>60.5</v>
      </c>
      <c r="M108" s="3" t="s">
        <v>5</v>
      </c>
      <c r="N108" s="3">
        <v>60</v>
      </c>
      <c r="O108" s="3" t="s">
        <v>3</v>
      </c>
      <c r="P108" s="3">
        <v>45</v>
      </c>
      <c r="Q108" s="3" t="s">
        <v>3</v>
      </c>
      <c r="R108" s="3">
        <v>87.5</v>
      </c>
      <c r="S108" s="3" t="s">
        <v>5</v>
      </c>
      <c r="T108" s="3">
        <v>20.2</v>
      </c>
      <c r="U108" s="3" t="s">
        <v>5</v>
      </c>
      <c r="V108" s="3">
        <v>37.5</v>
      </c>
      <c r="W108" s="3" t="s">
        <v>5</v>
      </c>
      <c r="X108" s="3">
        <v>50</v>
      </c>
      <c r="Y108" s="3" t="s">
        <v>5</v>
      </c>
      <c r="Z108" s="3">
        <v>80.7</v>
      </c>
      <c r="AA108" s="3" t="s">
        <v>5</v>
      </c>
      <c r="AB108" s="3">
        <v>448.2</v>
      </c>
      <c r="AC108" s="3" t="s">
        <v>5</v>
      </c>
      <c r="AD108" s="3">
        <f t="shared" si="1"/>
        <v>107</v>
      </c>
    </row>
    <row r="109" ht="15" customHeight="1" spans="1:30">
      <c r="A109" s="3" t="s">
        <v>426</v>
      </c>
      <c r="B109" s="3" t="s">
        <v>426</v>
      </c>
      <c r="C109" s="3" t="s">
        <v>166</v>
      </c>
      <c r="D109" s="3" t="s">
        <v>55</v>
      </c>
      <c r="E109" s="3" t="s">
        <v>316</v>
      </c>
      <c r="F109" s="3" t="s">
        <v>317</v>
      </c>
      <c r="G109" s="3" t="s">
        <v>318</v>
      </c>
      <c r="H109" s="3">
        <v>99</v>
      </c>
      <c r="I109" s="3" t="s">
        <v>3</v>
      </c>
      <c r="J109" s="3">
        <v>75</v>
      </c>
      <c r="K109" s="3" t="s">
        <v>5</v>
      </c>
      <c r="L109" s="3">
        <v>69.5</v>
      </c>
      <c r="M109" s="3" t="s">
        <v>3</v>
      </c>
      <c r="N109" s="3">
        <v>56.5</v>
      </c>
      <c r="O109" s="3" t="s">
        <v>5</v>
      </c>
      <c r="P109" s="3">
        <v>46</v>
      </c>
      <c r="Q109" s="3" t="s">
        <v>2</v>
      </c>
      <c r="R109" s="3">
        <v>78.5</v>
      </c>
      <c r="S109" s="3" t="s">
        <v>7</v>
      </c>
      <c r="T109" s="3">
        <v>23.4</v>
      </c>
      <c r="U109" s="3" t="s">
        <v>3</v>
      </c>
      <c r="V109" s="3">
        <v>30</v>
      </c>
      <c r="W109" s="3" t="s">
        <v>7</v>
      </c>
      <c r="X109" s="3">
        <v>48.5</v>
      </c>
      <c r="Y109" s="3" t="s">
        <v>5</v>
      </c>
      <c r="Z109" s="3">
        <v>92.9</v>
      </c>
      <c r="AA109" s="3" t="s">
        <v>3</v>
      </c>
      <c r="AB109" s="3">
        <v>447.9</v>
      </c>
      <c r="AC109" s="3" t="s">
        <v>5</v>
      </c>
      <c r="AD109" s="3">
        <f t="shared" si="1"/>
        <v>108</v>
      </c>
    </row>
    <row r="110" ht="15" customHeight="1" spans="1:30">
      <c r="A110" s="3" t="s">
        <v>427</v>
      </c>
      <c r="B110" s="3" t="s">
        <v>427</v>
      </c>
      <c r="C110" s="3" t="s">
        <v>154</v>
      </c>
      <c r="D110" s="3" t="s">
        <v>53</v>
      </c>
      <c r="E110" s="3" t="s">
        <v>316</v>
      </c>
      <c r="F110" s="3" t="s">
        <v>317</v>
      </c>
      <c r="G110" s="3" t="s">
        <v>318</v>
      </c>
      <c r="H110" s="3">
        <v>96</v>
      </c>
      <c r="I110" s="3" t="s">
        <v>3</v>
      </c>
      <c r="J110" s="3">
        <v>82</v>
      </c>
      <c r="K110" s="3" t="s">
        <v>5</v>
      </c>
      <c r="L110" s="3">
        <v>60</v>
      </c>
      <c r="M110" s="3" t="s">
        <v>5</v>
      </c>
      <c r="N110" s="3">
        <v>63.5</v>
      </c>
      <c r="O110" s="3" t="s">
        <v>3</v>
      </c>
      <c r="P110" s="3">
        <v>39.5</v>
      </c>
      <c r="Q110" s="3" t="s">
        <v>5</v>
      </c>
      <c r="R110" s="3">
        <v>92.5</v>
      </c>
      <c r="S110" s="3" t="s">
        <v>5</v>
      </c>
      <c r="T110" s="3">
        <v>14.3</v>
      </c>
      <c r="U110" s="3" t="s">
        <v>7</v>
      </c>
      <c r="V110" s="3">
        <v>41</v>
      </c>
      <c r="W110" s="3" t="s">
        <v>5</v>
      </c>
      <c r="X110" s="3">
        <v>51.5</v>
      </c>
      <c r="Y110" s="3" t="s">
        <v>5</v>
      </c>
      <c r="Z110" s="3">
        <v>74.3</v>
      </c>
      <c r="AA110" s="3" t="s">
        <v>5</v>
      </c>
      <c r="AB110" s="3">
        <v>447.8</v>
      </c>
      <c r="AC110" s="3" t="s">
        <v>5</v>
      </c>
      <c r="AD110" s="3">
        <f t="shared" si="1"/>
        <v>109</v>
      </c>
    </row>
    <row r="111" ht="15" customHeight="1" spans="1:30">
      <c r="A111" s="3" t="s">
        <v>428</v>
      </c>
      <c r="B111" s="3" t="s">
        <v>428</v>
      </c>
      <c r="C111" s="3" t="s">
        <v>157</v>
      </c>
      <c r="D111" s="3" t="s">
        <v>56</v>
      </c>
      <c r="E111" s="3" t="s">
        <v>316</v>
      </c>
      <c r="F111" s="3" t="s">
        <v>317</v>
      </c>
      <c r="G111" s="3" t="s">
        <v>318</v>
      </c>
      <c r="H111" s="3">
        <v>100</v>
      </c>
      <c r="I111" s="3" t="s">
        <v>3</v>
      </c>
      <c r="J111" s="3">
        <v>89</v>
      </c>
      <c r="K111" s="3" t="s">
        <v>3</v>
      </c>
      <c r="L111" s="3">
        <v>63</v>
      </c>
      <c r="M111" s="3" t="s">
        <v>5</v>
      </c>
      <c r="N111" s="3">
        <v>58.5</v>
      </c>
      <c r="O111" s="3" t="s">
        <v>5</v>
      </c>
      <c r="P111" s="3">
        <v>37</v>
      </c>
      <c r="Q111" s="3" t="s">
        <v>7</v>
      </c>
      <c r="R111" s="3">
        <v>76.5</v>
      </c>
      <c r="S111" s="3" t="s">
        <v>7</v>
      </c>
      <c r="T111" s="3">
        <v>22.7</v>
      </c>
      <c r="U111" s="3" t="s">
        <v>3</v>
      </c>
      <c r="V111" s="3">
        <v>37.5</v>
      </c>
      <c r="W111" s="3" t="s">
        <v>5</v>
      </c>
      <c r="X111" s="3">
        <v>39</v>
      </c>
      <c r="Y111" s="3" t="s">
        <v>7</v>
      </c>
      <c r="Z111" s="3">
        <v>85.7</v>
      </c>
      <c r="AA111" s="3" t="s">
        <v>3</v>
      </c>
      <c r="AB111" s="3">
        <v>446.7</v>
      </c>
      <c r="AC111" s="3" t="s">
        <v>5</v>
      </c>
      <c r="AD111" s="3">
        <f t="shared" si="1"/>
        <v>110</v>
      </c>
    </row>
    <row r="112" ht="15" customHeight="1" spans="1:30">
      <c r="A112" s="3" t="s">
        <v>429</v>
      </c>
      <c r="B112" s="3" t="s">
        <v>429</v>
      </c>
      <c r="C112" s="3" t="s">
        <v>162</v>
      </c>
      <c r="D112" s="3" t="s">
        <v>56</v>
      </c>
      <c r="E112" s="3" t="s">
        <v>316</v>
      </c>
      <c r="F112" s="3" t="s">
        <v>317</v>
      </c>
      <c r="G112" s="3" t="s">
        <v>318</v>
      </c>
      <c r="H112" s="3">
        <v>90</v>
      </c>
      <c r="I112" s="3" t="s">
        <v>5</v>
      </c>
      <c r="J112" s="3">
        <v>78</v>
      </c>
      <c r="K112" s="3" t="s">
        <v>5</v>
      </c>
      <c r="L112" s="3">
        <v>66.5</v>
      </c>
      <c r="M112" s="3" t="s">
        <v>3</v>
      </c>
      <c r="N112" s="3">
        <v>56.5</v>
      </c>
      <c r="O112" s="3" t="s">
        <v>5</v>
      </c>
      <c r="P112" s="3">
        <v>38</v>
      </c>
      <c r="Q112" s="3" t="s">
        <v>5</v>
      </c>
      <c r="R112" s="3">
        <v>94.5</v>
      </c>
      <c r="S112" s="3" t="s">
        <v>5</v>
      </c>
      <c r="T112" s="3">
        <v>22.9</v>
      </c>
      <c r="U112" s="3" t="s">
        <v>3</v>
      </c>
      <c r="V112" s="3">
        <v>41.5</v>
      </c>
      <c r="W112" s="3" t="s">
        <v>5</v>
      </c>
      <c r="X112" s="3">
        <v>53</v>
      </c>
      <c r="Y112" s="3" t="s">
        <v>5</v>
      </c>
      <c r="Z112" s="3">
        <v>89.4</v>
      </c>
      <c r="AA112" s="3" t="s">
        <v>3</v>
      </c>
      <c r="AB112" s="3">
        <v>446.4</v>
      </c>
      <c r="AC112" s="3" t="s">
        <v>5</v>
      </c>
      <c r="AD112" s="3">
        <f t="shared" si="1"/>
        <v>111</v>
      </c>
    </row>
    <row r="113" ht="15" customHeight="1" spans="1:30">
      <c r="A113" s="3" t="s">
        <v>430</v>
      </c>
      <c r="B113" s="3" t="s">
        <v>430</v>
      </c>
      <c r="C113" s="3" t="s">
        <v>171</v>
      </c>
      <c r="D113" s="3" t="s">
        <v>55</v>
      </c>
      <c r="E113" s="3" t="s">
        <v>316</v>
      </c>
      <c r="F113" s="3" t="s">
        <v>317</v>
      </c>
      <c r="G113" s="3" t="s">
        <v>318</v>
      </c>
      <c r="H113" s="3">
        <v>90</v>
      </c>
      <c r="I113" s="3" t="s">
        <v>5</v>
      </c>
      <c r="J113" s="3">
        <v>74</v>
      </c>
      <c r="K113" s="3" t="s">
        <v>7</v>
      </c>
      <c r="L113" s="3">
        <v>69</v>
      </c>
      <c r="M113" s="3" t="s">
        <v>3</v>
      </c>
      <c r="N113" s="3">
        <v>57</v>
      </c>
      <c r="O113" s="3" t="s">
        <v>5</v>
      </c>
      <c r="P113" s="3">
        <v>40</v>
      </c>
      <c r="Q113" s="3" t="s">
        <v>5</v>
      </c>
      <c r="R113" s="3">
        <v>92.5</v>
      </c>
      <c r="S113" s="3" t="s">
        <v>5</v>
      </c>
      <c r="T113" s="3">
        <v>22.7</v>
      </c>
      <c r="U113" s="3" t="s">
        <v>3</v>
      </c>
      <c r="V113" s="3">
        <v>38.5</v>
      </c>
      <c r="W113" s="3" t="s">
        <v>5</v>
      </c>
      <c r="X113" s="3">
        <v>54</v>
      </c>
      <c r="Y113" s="3" t="s">
        <v>5</v>
      </c>
      <c r="Z113" s="3">
        <v>91.7</v>
      </c>
      <c r="AA113" s="3" t="s">
        <v>3</v>
      </c>
      <c r="AB113" s="3">
        <v>445.2</v>
      </c>
      <c r="AC113" s="3" t="s">
        <v>5</v>
      </c>
      <c r="AD113" s="3">
        <f t="shared" si="1"/>
        <v>112</v>
      </c>
    </row>
    <row r="114" ht="15" customHeight="1" spans="1:30">
      <c r="A114" s="3" t="s">
        <v>431</v>
      </c>
      <c r="B114" s="3" t="s">
        <v>431</v>
      </c>
      <c r="C114" s="3" t="s">
        <v>195</v>
      </c>
      <c r="D114" s="3" t="s">
        <v>54</v>
      </c>
      <c r="E114" s="3" t="s">
        <v>316</v>
      </c>
      <c r="F114" s="3" t="s">
        <v>317</v>
      </c>
      <c r="G114" s="3" t="s">
        <v>318</v>
      </c>
      <c r="H114" s="3">
        <v>85.5</v>
      </c>
      <c r="I114" s="3" t="s">
        <v>5</v>
      </c>
      <c r="J114" s="3">
        <v>79</v>
      </c>
      <c r="K114" s="3" t="s">
        <v>5</v>
      </c>
      <c r="L114" s="3">
        <v>60.5</v>
      </c>
      <c r="M114" s="3" t="s">
        <v>5</v>
      </c>
      <c r="N114" s="3">
        <v>60</v>
      </c>
      <c r="O114" s="3" t="s">
        <v>3</v>
      </c>
      <c r="P114" s="3">
        <v>40</v>
      </c>
      <c r="Q114" s="3" t="s">
        <v>5</v>
      </c>
      <c r="R114" s="3">
        <v>99</v>
      </c>
      <c r="S114" s="3" t="s">
        <v>5</v>
      </c>
      <c r="T114" s="3">
        <v>20.4</v>
      </c>
      <c r="U114" s="3" t="s">
        <v>5</v>
      </c>
      <c r="V114" s="3">
        <v>41.5</v>
      </c>
      <c r="W114" s="3" t="s">
        <v>5</v>
      </c>
      <c r="X114" s="3">
        <v>57.5</v>
      </c>
      <c r="Y114" s="3" t="s">
        <v>3</v>
      </c>
      <c r="Z114" s="3">
        <v>80.9</v>
      </c>
      <c r="AA114" s="3" t="s">
        <v>5</v>
      </c>
      <c r="AB114" s="3">
        <v>444.4</v>
      </c>
      <c r="AC114" s="3" t="s">
        <v>5</v>
      </c>
      <c r="AD114" s="3">
        <f t="shared" si="1"/>
        <v>113</v>
      </c>
    </row>
    <row r="115" ht="15" customHeight="1" spans="1:30">
      <c r="A115" s="3" t="s">
        <v>432</v>
      </c>
      <c r="B115" s="3" t="s">
        <v>432</v>
      </c>
      <c r="C115" s="3" t="s">
        <v>163</v>
      </c>
      <c r="D115" s="3" t="s">
        <v>51</v>
      </c>
      <c r="E115" s="3" t="s">
        <v>316</v>
      </c>
      <c r="F115" s="3" t="s">
        <v>317</v>
      </c>
      <c r="G115" s="3" t="s">
        <v>318</v>
      </c>
      <c r="H115" s="3">
        <v>94</v>
      </c>
      <c r="I115" s="3" t="s">
        <v>3</v>
      </c>
      <c r="J115" s="3">
        <v>78</v>
      </c>
      <c r="K115" s="3" t="s">
        <v>5</v>
      </c>
      <c r="L115" s="3">
        <v>65</v>
      </c>
      <c r="M115" s="3" t="s">
        <v>3</v>
      </c>
      <c r="N115" s="3">
        <v>54.5</v>
      </c>
      <c r="O115" s="3" t="s">
        <v>5</v>
      </c>
      <c r="P115" s="3">
        <v>41.5</v>
      </c>
      <c r="Q115" s="3" t="s">
        <v>3</v>
      </c>
      <c r="R115" s="3">
        <v>87.5</v>
      </c>
      <c r="S115" s="3" t="s">
        <v>5</v>
      </c>
      <c r="T115" s="3">
        <v>22.7</v>
      </c>
      <c r="U115" s="3" t="s">
        <v>3</v>
      </c>
      <c r="V115" s="3">
        <v>36.5</v>
      </c>
      <c r="W115" s="3" t="s">
        <v>7</v>
      </c>
      <c r="X115" s="3">
        <v>51</v>
      </c>
      <c r="Y115" s="3" t="s">
        <v>5</v>
      </c>
      <c r="Z115" s="3">
        <v>87.7</v>
      </c>
      <c r="AA115" s="3" t="s">
        <v>3</v>
      </c>
      <c r="AB115" s="3">
        <v>443.2</v>
      </c>
      <c r="AC115" s="3" t="s">
        <v>5</v>
      </c>
      <c r="AD115" s="3">
        <f t="shared" si="1"/>
        <v>114</v>
      </c>
    </row>
    <row r="116" ht="15" customHeight="1" spans="1:30">
      <c r="A116" s="3" t="s">
        <v>433</v>
      </c>
      <c r="B116" s="3" t="s">
        <v>433</v>
      </c>
      <c r="C116" s="3" t="s">
        <v>168</v>
      </c>
      <c r="D116" s="3" t="s">
        <v>51</v>
      </c>
      <c r="E116" s="3" t="s">
        <v>316</v>
      </c>
      <c r="F116" s="3" t="s">
        <v>317</v>
      </c>
      <c r="G116" s="3" t="s">
        <v>318</v>
      </c>
      <c r="H116" s="3">
        <v>94.5</v>
      </c>
      <c r="I116" s="3" t="s">
        <v>3</v>
      </c>
      <c r="J116" s="3">
        <v>80</v>
      </c>
      <c r="K116" s="3" t="s">
        <v>5</v>
      </c>
      <c r="L116" s="3">
        <v>66</v>
      </c>
      <c r="M116" s="3" t="s">
        <v>3</v>
      </c>
      <c r="N116" s="3">
        <v>60.5</v>
      </c>
      <c r="O116" s="3" t="s">
        <v>3</v>
      </c>
      <c r="P116" s="3">
        <v>35.5</v>
      </c>
      <c r="Q116" s="3" t="s">
        <v>7</v>
      </c>
      <c r="R116" s="3">
        <v>83.5</v>
      </c>
      <c r="S116" s="3" t="s">
        <v>7</v>
      </c>
      <c r="T116" s="3">
        <v>21.6</v>
      </c>
      <c r="U116" s="3" t="s">
        <v>5</v>
      </c>
      <c r="V116" s="3">
        <v>35</v>
      </c>
      <c r="W116" s="3" t="s">
        <v>7</v>
      </c>
      <c r="X116" s="3">
        <v>48.5</v>
      </c>
      <c r="Y116" s="3" t="s">
        <v>5</v>
      </c>
      <c r="Z116" s="3">
        <v>87.6</v>
      </c>
      <c r="AA116" s="3" t="s">
        <v>3</v>
      </c>
      <c r="AB116" s="3">
        <v>441.6</v>
      </c>
      <c r="AC116" s="3" t="s">
        <v>5</v>
      </c>
      <c r="AD116" s="3">
        <f t="shared" si="1"/>
        <v>115</v>
      </c>
    </row>
    <row r="117" ht="15" customHeight="1" spans="1:30">
      <c r="A117" s="3" t="s">
        <v>434</v>
      </c>
      <c r="B117" s="3" t="s">
        <v>434</v>
      </c>
      <c r="C117" s="3" t="s">
        <v>159</v>
      </c>
      <c r="D117" s="3" t="s">
        <v>53</v>
      </c>
      <c r="E117" s="3" t="s">
        <v>316</v>
      </c>
      <c r="F117" s="3" t="s">
        <v>317</v>
      </c>
      <c r="G117" s="3" t="s">
        <v>318</v>
      </c>
      <c r="H117" s="3">
        <v>94.5</v>
      </c>
      <c r="I117" s="3" t="s">
        <v>3</v>
      </c>
      <c r="J117" s="3">
        <v>80</v>
      </c>
      <c r="K117" s="3" t="s">
        <v>5</v>
      </c>
      <c r="L117" s="3">
        <v>58</v>
      </c>
      <c r="M117" s="3" t="s">
        <v>5</v>
      </c>
      <c r="N117" s="3">
        <v>56</v>
      </c>
      <c r="O117" s="3" t="s">
        <v>5</v>
      </c>
      <c r="P117" s="3">
        <v>47</v>
      </c>
      <c r="Q117" s="3" t="s">
        <v>2</v>
      </c>
      <c r="R117" s="3">
        <v>86</v>
      </c>
      <c r="S117" s="3" t="s">
        <v>5</v>
      </c>
      <c r="T117" s="3">
        <v>19.9</v>
      </c>
      <c r="U117" s="3" t="s">
        <v>5</v>
      </c>
      <c r="V117" s="3">
        <v>38.5</v>
      </c>
      <c r="W117" s="3" t="s">
        <v>5</v>
      </c>
      <c r="X117" s="3">
        <v>47.5</v>
      </c>
      <c r="Y117" s="3" t="s">
        <v>5</v>
      </c>
      <c r="Z117" s="3">
        <v>77.9</v>
      </c>
      <c r="AA117" s="3" t="s">
        <v>5</v>
      </c>
      <c r="AB117" s="3">
        <v>441.4</v>
      </c>
      <c r="AC117" s="3" t="s">
        <v>5</v>
      </c>
      <c r="AD117" s="3">
        <f t="shared" si="1"/>
        <v>116</v>
      </c>
    </row>
    <row r="118" ht="15" customHeight="1" spans="1:30">
      <c r="A118" s="3" t="s">
        <v>435</v>
      </c>
      <c r="B118" s="3" t="s">
        <v>435</v>
      </c>
      <c r="C118" s="3" t="s">
        <v>167</v>
      </c>
      <c r="D118" s="3" t="s">
        <v>56</v>
      </c>
      <c r="E118" s="3" t="s">
        <v>316</v>
      </c>
      <c r="F118" s="3" t="s">
        <v>317</v>
      </c>
      <c r="G118" s="3" t="s">
        <v>318</v>
      </c>
      <c r="H118" s="3">
        <v>98</v>
      </c>
      <c r="I118" s="3" t="s">
        <v>3</v>
      </c>
      <c r="J118" s="3">
        <v>75</v>
      </c>
      <c r="K118" s="3" t="s">
        <v>5</v>
      </c>
      <c r="L118" s="3">
        <v>72.5</v>
      </c>
      <c r="M118" s="3" t="s">
        <v>2</v>
      </c>
      <c r="N118" s="3">
        <v>54.5</v>
      </c>
      <c r="O118" s="3" t="s">
        <v>5</v>
      </c>
      <c r="P118" s="3">
        <v>39.5</v>
      </c>
      <c r="Q118" s="3" t="s">
        <v>5</v>
      </c>
      <c r="R118" s="3">
        <v>78</v>
      </c>
      <c r="S118" s="3" t="s">
        <v>7</v>
      </c>
      <c r="T118" s="3">
        <v>23.7</v>
      </c>
      <c r="U118" s="3" t="s">
        <v>3</v>
      </c>
      <c r="V118" s="3">
        <v>39.5</v>
      </c>
      <c r="W118" s="3" t="s">
        <v>5</v>
      </c>
      <c r="X118" s="3">
        <v>38.5</v>
      </c>
      <c r="Y118" s="3" t="s">
        <v>7</v>
      </c>
      <c r="Z118" s="3">
        <v>96.2</v>
      </c>
      <c r="AA118" s="3" t="s">
        <v>2</v>
      </c>
      <c r="AB118" s="3">
        <v>441.2</v>
      </c>
      <c r="AC118" s="3" t="s">
        <v>5</v>
      </c>
      <c r="AD118" s="3">
        <f t="shared" si="1"/>
        <v>117</v>
      </c>
    </row>
    <row r="119" ht="15" customHeight="1" spans="1:30">
      <c r="A119" s="3" t="s">
        <v>436</v>
      </c>
      <c r="B119" s="3" t="s">
        <v>436</v>
      </c>
      <c r="C119" s="3" t="s">
        <v>172</v>
      </c>
      <c r="D119" s="3" t="s">
        <v>56</v>
      </c>
      <c r="E119" s="3" t="s">
        <v>316</v>
      </c>
      <c r="F119" s="3" t="s">
        <v>317</v>
      </c>
      <c r="G119" s="3" t="s">
        <v>318</v>
      </c>
      <c r="H119" s="3">
        <v>89</v>
      </c>
      <c r="I119" s="3" t="s">
        <v>5</v>
      </c>
      <c r="J119" s="3">
        <v>77</v>
      </c>
      <c r="K119" s="3" t="s">
        <v>5</v>
      </c>
      <c r="L119" s="3">
        <v>61.5</v>
      </c>
      <c r="M119" s="3" t="s">
        <v>5</v>
      </c>
      <c r="N119" s="3">
        <v>57</v>
      </c>
      <c r="O119" s="3" t="s">
        <v>5</v>
      </c>
      <c r="P119" s="3">
        <v>44.5</v>
      </c>
      <c r="Q119" s="3" t="s">
        <v>3</v>
      </c>
      <c r="R119" s="3">
        <v>89</v>
      </c>
      <c r="S119" s="3" t="s">
        <v>5</v>
      </c>
      <c r="T119" s="3">
        <v>19.9</v>
      </c>
      <c r="U119" s="3" t="s">
        <v>5</v>
      </c>
      <c r="V119" s="3">
        <v>38</v>
      </c>
      <c r="W119" s="3" t="s">
        <v>5</v>
      </c>
      <c r="X119" s="3">
        <v>51</v>
      </c>
      <c r="Y119" s="3" t="s">
        <v>5</v>
      </c>
      <c r="Z119" s="3">
        <v>81.4</v>
      </c>
      <c r="AA119" s="3" t="s">
        <v>5</v>
      </c>
      <c r="AB119" s="3">
        <v>437.9</v>
      </c>
      <c r="AC119" s="3" t="s">
        <v>5</v>
      </c>
      <c r="AD119" s="3">
        <f t="shared" si="1"/>
        <v>118</v>
      </c>
    </row>
    <row r="120" ht="15" customHeight="1" spans="1:30">
      <c r="A120" s="3" t="s">
        <v>437</v>
      </c>
      <c r="B120" s="3" t="s">
        <v>437</v>
      </c>
      <c r="C120" s="3" t="s">
        <v>173</v>
      </c>
      <c r="D120" s="3" t="s">
        <v>51</v>
      </c>
      <c r="E120" s="3" t="s">
        <v>316</v>
      </c>
      <c r="F120" s="3" t="s">
        <v>317</v>
      </c>
      <c r="G120" s="3" t="s">
        <v>318</v>
      </c>
      <c r="H120" s="3">
        <v>92.5</v>
      </c>
      <c r="I120" s="3" t="s">
        <v>3</v>
      </c>
      <c r="J120" s="3">
        <v>78</v>
      </c>
      <c r="K120" s="3" t="s">
        <v>5</v>
      </c>
      <c r="L120" s="3">
        <v>63</v>
      </c>
      <c r="M120" s="3" t="s">
        <v>5</v>
      </c>
      <c r="N120" s="3">
        <v>51.5</v>
      </c>
      <c r="O120" s="3" t="s">
        <v>7</v>
      </c>
      <c r="P120" s="3">
        <v>39.5</v>
      </c>
      <c r="Q120" s="3" t="s">
        <v>5</v>
      </c>
      <c r="R120" s="3">
        <v>90</v>
      </c>
      <c r="S120" s="3" t="s">
        <v>5</v>
      </c>
      <c r="T120" s="3">
        <v>22.4</v>
      </c>
      <c r="U120" s="3" t="s">
        <v>3</v>
      </c>
      <c r="V120" s="3">
        <v>38.5</v>
      </c>
      <c r="W120" s="3" t="s">
        <v>5</v>
      </c>
      <c r="X120" s="3">
        <v>51.5</v>
      </c>
      <c r="Y120" s="3" t="s">
        <v>5</v>
      </c>
      <c r="Z120" s="3">
        <v>85.4</v>
      </c>
      <c r="AA120" s="3" t="s">
        <v>3</v>
      </c>
      <c r="AB120" s="3">
        <v>436.9</v>
      </c>
      <c r="AC120" s="3" t="s">
        <v>5</v>
      </c>
      <c r="AD120" s="3">
        <f t="shared" si="1"/>
        <v>119</v>
      </c>
    </row>
    <row r="121" ht="15" customHeight="1" spans="1:30">
      <c r="A121" s="3" t="s">
        <v>438</v>
      </c>
      <c r="B121" s="3" t="s">
        <v>438</v>
      </c>
      <c r="C121" s="3" t="s">
        <v>164</v>
      </c>
      <c r="D121" s="3" t="s">
        <v>53</v>
      </c>
      <c r="E121" s="3" t="s">
        <v>316</v>
      </c>
      <c r="F121" s="3" t="s">
        <v>317</v>
      </c>
      <c r="G121" s="3" t="s">
        <v>318</v>
      </c>
      <c r="H121" s="3">
        <v>74</v>
      </c>
      <c r="I121" s="3" t="s">
        <v>7</v>
      </c>
      <c r="J121" s="3">
        <v>82</v>
      </c>
      <c r="K121" s="3" t="s">
        <v>5</v>
      </c>
      <c r="L121" s="3">
        <v>64</v>
      </c>
      <c r="M121" s="3" t="s">
        <v>3</v>
      </c>
      <c r="N121" s="3">
        <v>53</v>
      </c>
      <c r="O121" s="3" t="s">
        <v>7</v>
      </c>
      <c r="P121" s="3">
        <v>33.5</v>
      </c>
      <c r="Q121" s="3" t="s">
        <v>7</v>
      </c>
      <c r="R121" s="3">
        <v>108</v>
      </c>
      <c r="S121" s="3" t="s">
        <v>3</v>
      </c>
      <c r="T121" s="3">
        <v>22.2</v>
      </c>
      <c r="U121" s="3" t="s">
        <v>3</v>
      </c>
      <c r="V121" s="3">
        <v>45</v>
      </c>
      <c r="W121" s="3" t="s">
        <v>3</v>
      </c>
      <c r="X121" s="3">
        <v>63</v>
      </c>
      <c r="Y121" s="3" t="s">
        <v>3</v>
      </c>
      <c r="Z121" s="3">
        <v>86.2</v>
      </c>
      <c r="AA121" s="3" t="s">
        <v>3</v>
      </c>
      <c r="AB121" s="3">
        <v>436.7</v>
      </c>
      <c r="AC121" s="3" t="s">
        <v>5</v>
      </c>
      <c r="AD121" s="3">
        <f t="shared" si="1"/>
        <v>120</v>
      </c>
    </row>
    <row r="122" ht="15" customHeight="1" spans="1:30">
      <c r="A122" s="3" t="s">
        <v>439</v>
      </c>
      <c r="B122" s="3" t="s">
        <v>439</v>
      </c>
      <c r="C122" s="3" t="s">
        <v>176</v>
      </c>
      <c r="D122" s="3" t="s">
        <v>55</v>
      </c>
      <c r="E122" s="3" t="s">
        <v>316</v>
      </c>
      <c r="F122" s="3" t="s">
        <v>317</v>
      </c>
      <c r="G122" s="3" t="s">
        <v>318</v>
      </c>
      <c r="H122" s="3">
        <v>89.5</v>
      </c>
      <c r="I122" s="3" t="s">
        <v>5</v>
      </c>
      <c r="J122" s="3">
        <v>80</v>
      </c>
      <c r="K122" s="3" t="s">
        <v>5</v>
      </c>
      <c r="L122" s="3">
        <v>63</v>
      </c>
      <c r="M122" s="3" t="s">
        <v>5</v>
      </c>
      <c r="N122" s="3">
        <v>61</v>
      </c>
      <c r="O122" s="3" t="s">
        <v>3</v>
      </c>
      <c r="P122" s="3">
        <v>42</v>
      </c>
      <c r="Q122" s="3" t="s">
        <v>3</v>
      </c>
      <c r="R122" s="3">
        <v>79</v>
      </c>
      <c r="S122" s="3" t="s">
        <v>7</v>
      </c>
      <c r="T122" s="3">
        <v>22</v>
      </c>
      <c r="U122" s="3" t="s">
        <v>3</v>
      </c>
      <c r="V122" s="3">
        <v>33.5</v>
      </c>
      <c r="W122" s="3" t="s">
        <v>7</v>
      </c>
      <c r="X122" s="3">
        <v>45.5</v>
      </c>
      <c r="Y122" s="3" t="s">
        <v>7</v>
      </c>
      <c r="Z122" s="3">
        <v>85</v>
      </c>
      <c r="AA122" s="3" t="s">
        <v>5</v>
      </c>
      <c r="AB122" s="3">
        <v>436.5</v>
      </c>
      <c r="AC122" s="3" t="s">
        <v>5</v>
      </c>
      <c r="AD122" s="3">
        <f t="shared" si="1"/>
        <v>121</v>
      </c>
    </row>
    <row r="123" ht="15" customHeight="1" spans="1:30">
      <c r="A123" s="3" t="s">
        <v>440</v>
      </c>
      <c r="B123" s="3" t="s">
        <v>440</v>
      </c>
      <c r="C123" s="3" t="s">
        <v>181</v>
      </c>
      <c r="D123" s="3" t="s">
        <v>55</v>
      </c>
      <c r="E123" s="3" t="s">
        <v>316</v>
      </c>
      <c r="F123" s="3" t="s">
        <v>317</v>
      </c>
      <c r="G123" s="3" t="s">
        <v>318</v>
      </c>
      <c r="H123" s="3">
        <v>91.5</v>
      </c>
      <c r="I123" s="3" t="s">
        <v>5</v>
      </c>
      <c r="J123" s="3">
        <v>77</v>
      </c>
      <c r="K123" s="3" t="s">
        <v>5</v>
      </c>
      <c r="L123" s="3">
        <v>65.5</v>
      </c>
      <c r="M123" s="3" t="s">
        <v>3</v>
      </c>
      <c r="N123" s="3">
        <v>59</v>
      </c>
      <c r="O123" s="3" t="s">
        <v>5</v>
      </c>
      <c r="P123" s="3">
        <v>42</v>
      </c>
      <c r="Q123" s="3" t="s">
        <v>3</v>
      </c>
      <c r="R123" s="3">
        <v>79.5</v>
      </c>
      <c r="S123" s="3" t="s">
        <v>7</v>
      </c>
      <c r="T123" s="3">
        <v>22</v>
      </c>
      <c r="U123" s="3" t="s">
        <v>3</v>
      </c>
      <c r="V123" s="3">
        <v>34.5</v>
      </c>
      <c r="W123" s="3" t="s">
        <v>7</v>
      </c>
      <c r="X123" s="3">
        <v>45</v>
      </c>
      <c r="Y123" s="3" t="s">
        <v>7</v>
      </c>
      <c r="Z123" s="3">
        <v>87.5</v>
      </c>
      <c r="AA123" s="3" t="s">
        <v>3</v>
      </c>
      <c r="AB123" s="3">
        <v>436.5</v>
      </c>
      <c r="AC123" s="3" t="s">
        <v>5</v>
      </c>
      <c r="AD123" s="3">
        <f t="shared" si="1"/>
        <v>121</v>
      </c>
    </row>
    <row r="124" ht="15" customHeight="1" spans="1:30">
      <c r="A124" s="3" t="s">
        <v>441</v>
      </c>
      <c r="B124" s="3" t="s">
        <v>441</v>
      </c>
      <c r="C124" s="3" t="s">
        <v>178</v>
      </c>
      <c r="D124" s="3" t="s">
        <v>51</v>
      </c>
      <c r="E124" s="3" t="s">
        <v>316</v>
      </c>
      <c r="F124" s="3" t="s">
        <v>317</v>
      </c>
      <c r="G124" s="3" t="s">
        <v>318</v>
      </c>
      <c r="H124" s="3">
        <v>97.5</v>
      </c>
      <c r="I124" s="3" t="s">
        <v>3</v>
      </c>
      <c r="J124" s="3">
        <v>73</v>
      </c>
      <c r="K124" s="3" t="s">
        <v>7</v>
      </c>
      <c r="L124" s="3">
        <v>63</v>
      </c>
      <c r="M124" s="3" t="s">
        <v>5</v>
      </c>
      <c r="N124" s="3">
        <v>51</v>
      </c>
      <c r="O124" s="3" t="s">
        <v>7</v>
      </c>
      <c r="P124" s="3">
        <v>48</v>
      </c>
      <c r="Q124" s="3" t="s">
        <v>2</v>
      </c>
      <c r="R124" s="3">
        <v>82</v>
      </c>
      <c r="S124" s="3" t="s">
        <v>7</v>
      </c>
      <c r="T124" s="3">
        <v>21.9</v>
      </c>
      <c r="U124" s="3" t="s">
        <v>5</v>
      </c>
      <c r="V124" s="3">
        <v>36</v>
      </c>
      <c r="W124" s="3" t="s">
        <v>7</v>
      </c>
      <c r="X124" s="3">
        <v>46</v>
      </c>
      <c r="Y124" s="3" t="s">
        <v>7</v>
      </c>
      <c r="Z124" s="3">
        <v>84.9</v>
      </c>
      <c r="AA124" s="3" t="s">
        <v>5</v>
      </c>
      <c r="AB124" s="3">
        <v>436.4</v>
      </c>
      <c r="AC124" s="3" t="s">
        <v>5</v>
      </c>
      <c r="AD124" s="3">
        <f t="shared" si="1"/>
        <v>123</v>
      </c>
    </row>
    <row r="125" ht="15" customHeight="1" spans="1:30">
      <c r="A125" s="3" t="s">
        <v>442</v>
      </c>
      <c r="B125" s="3" t="s">
        <v>442</v>
      </c>
      <c r="C125" s="3" t="s">
        <v>169</v>
      </c>
      <c r="D125" s="3" t="s">
        <v>53</v>
      </c>
      <c r="E125" s="3" t="s">
        <v>316</v>
      </c>
      <c r="F125" s="3" t="s">
        <v>317</v>
      </c>
      <c r="G125" s="3" t="s">
        <v>318</v>
      </c>
      <c r="H125" s="3">
        <v>84.5</v>
      </c>
      <c r="I125" s="3" t="s">
        <v>5</v>
      </c>
      <c r="J125" s="3">
        <v>78</v>
      </c>
      <c r="K125" s="3" t="s">
        <v>5</v>
      </c>
      <c r="L125" s="3">
        <v>54</v>
      </c>
      <c r="M125" s="3" t="s">
        <v>5</v>
      </c>
      <c r="N125" s="3">
        <v>60</v>
      </c>
      <c r="O125" s="3" t="s">
        <v>3</v>
      </c>
      <c r="P125" s="3">
        <v>37</v>
      </c>
      <c r="Q125" s="3" t="s">
        <v>7</v>
      </c>
      <c r="R125" s="3">
        <v>101.5</v>
      </c>
      <c r="S125" s="3" t="s">
        <v>3</v>
      </c>
      <c r="T125" s="3">
        <v>21.2</v>
      </c>
      <c r="U125" s="3" t="s">
        <v>5</v>
      </c>
      <c r="V125" s="3">
        <v>41.5</v>
      </c>
      <c r="W125" s="3" t="s">
        <v>5</v>
      </c>
      <c r="X125" s="3">
        <v>60</v>
      </c>
      <c r="Y125" s="3" t="s">
        <v>3</v>
      </c>
      <c r="Z125" s="3">
        <v>75.2</v>
      </c>
      <c r="AA125" s="3" t="s">
        <v>5</v>
      </c>
      <c r="AB125" s="3">
        <v>436.2</v>
      </c>
      <c r="AC125" s="3" t="s">
        <v>5</v>
      </c>
      <c r="AD125" s="3">
        <f t="shared" si="1"/>
        <v>124</v>
      </c>
    </row>
    <row r="126" ht="15" customHeight="1" spans="1:30">
      <c r="A126" s="3" t="s">
        <v>443</v>
      </c>
      <c r="B126" s="3" t="s">
        <v>443</v>
      </c>
      <c r="C126" s="3" t="s">
        <v>186</v>
      </c>
      <c r="D126" s="3" t="s">
        <v>55</v>
      </c>
      <c r="E126" s="3" t="s">
        <v>316</v>
      </c>
      <c r="F126" s="3" t="s">
        <v>317</v>
      </c>
      <c r="G126" s="3" t="s">
        <v>318</v>
      </c>
      <c r="H126" s="3">
        <v>89</v>
      </c>
      <c r="I126" s="3" t="s">
        <v>5</v>
      </c>
      <c r="J126" s="3">
        <v>75</v>
      </c>
      <c r="K126" s="3" t="s">
        <v>5</v>
      </c>
      <c r="L126" s="3">
        <v>63.5</v>
      </c>
      <c r="M126" s="3" t="s">
        <v>5</v>
      </c>
      <c r="N126" s="3">
        <v>59</v>
      </c>
      <c r="O126" s="3" t="s">
        <v>5</v>
      </c>
      <c r="P126" s="3">
        <v>44.5</v>
      </c>
      <c r="Q126" s="3" t="s">
        <v>3</v>
      </c>
      <c r="R126" s="3">
        <v>81.5</v>
      </c>
      <c r="S126" s="3" t="s">
        <v>7</v>
      </c>
      <c r="T126" s="3">
        <v>23.7</v>
      </c>
      <c r="U126" s="3" t="s">
        <v>3</v>
      </c>
      <c r="V126" s="3">
        <v>38</v>
      </c>
      <c r="W126" s="3" t="s">
        <v>5</v>
      </c>
      <c r="X126" s="3">
        <v>43.5</v>
      </c>
      <c r="Y126" s="3" t="s">
        <v>7</v>
      </c>
      <c r="Z126" s="3">
        <v>87.2</v>
      </c>
      <c r="AA126" s="3" t="s">
        <v>3</v>
      </c>
      <c r="AB126" s="3">
        <v>436.2</v>
      </c>
      <c r="AC126" s="3" t="s">
        <v>5</v>
      </c>
      <c r="AD126" s="3">
        <f t="shared" si="1"/>
        <v>124</v>
      </c>
    </row>
    <row r="127" ht="15" customHeight="1" spans="1:30">
      <c r="A127" s="3" t="s">
        <v>444</v>
      </c>
      <c r="B127" s="3" t="s">
        <v>444</v>
      </c>
      <c r="C127" s="3" t="s">
        <v>200</v>
      </c>
      <c r="D127" s="3" t="s">
        <v>54</v>
      </c>
      <c r="E127" s="3" t="s">
        <v>316</v>
      </c>
      <c r="F127" s="3" t="s">
        <v>317</v>
      </c>
      <c r="G127" s="3" t="s">
        <v>318</v>
      </c>
      <c r="H127" s="3">
        <v>93.5</v>
      </c>
      <c r="I127" s="3" t="s">
        <v>3</v>
      </c>
      <c r="J127" s="3">
        <v>81</v>
      </c>
      <c r="K127" s="3" t="s">
        <v>5</v>
      </c>
      <c r="L127" s="3">
        <v>47.5</v>
      </c>
      <c r="M127" s="3" t="s">
        <v>7</v>
      </c>
      <c r="N127" s="3">
        <v>59</v>
      </c>
      <c r="O127" s="3" t="s">
        <v>5</v>
      </c>
      <c r="P127" s="3">
        <v>42</v>
      </c>
      <c r="Q127" s="3" t="s">
        <v>3</v>
      </c>
      <c r="R127" s="3">
        <v>93</v>
      </c>
      <c r="S127" s="3" t="s">
        <v>5</v>
      </c>
      <c r="T127" s="3">
        <v>19.7</v>
      </c>
      <c r="U127" s="3" t="s">
        <v>5</v>
      </c>
      <c r="V127" s="3">
        <v>45</v>
      </c>
      <c r="W127" s="3" t="s">
        <v>3</v>
      </c>
      <c r="X127" s="3">
        <v>48</v>
      </c>
      <c r="Y127" s="3" t="s">
        <v>5</v>
      </c>
      <c r="Z127" s="3">
        <v>67.2</v>
      </c>
      <c r="AA127" s="3" t="s">
        <v>5</v>
      </c>
      <c r="AB127" s="3">
        <v>435.7</v>
      </c>
      <c r="AC127" s="3" t="s">
        <v>5</v>
      </c>
      <c r="AD127" s="3">
        <f t="shared" si="1"/>
        <v>126</v>
      </c>
    </row>
    <row r="128" ht="15" customHeight="1" spans="1:30">
      <c r="A128" s="3" t="s">
        <v>445</v>
      </c>
      <c r="B128" s="3" t="s">
        <v>445</v>
      </c>
      <c r="C128" s="3" t="s">
        <v>177</v>
      </c>
      <c r="D128" s="3" t="s">
        <v>56</v>
      </c>
      <c r="E128" s="3" t="s">
        <v>316</v>
      </c>
      <c r="F128" s="3" t="s">
        <v>317</v>
      </c>
      <c r="G128" s="3" t="s">
        <v>318</v>
      </c>
      <c r="H128" s="3">
        <v>80</v>
      </c>
      <c r="I128" s="3" t="s">
        <v>7</v>
      </c>
      <c r="J128" s="3">
        <v>79</v>
      </c>
      <c r="K128" s="3" t="s">
        <v>5</v>
      </c>
      <c r="L128" s="3">
        <v>65.5</v>
      </c>
      <c r="M128" s="3" t="s">
        <v>3</v>
      </c>
      <c r="N128" s="3">
        <v>57</v>
      </c>
      <c r="O128" s="3" t="s">
        <v>5</v>
      </c>
      <c r="P128" s="3">
        <v>39</v>
      </c>
      <c r="Q128" s="3" t="s">
        <v>5</v>
      </c>
      <c r="R128" s="3">
        <v>92</v>
      </c>
      <c r="S128" s="3" t="s">
        <v>5</v>
      </c>
      <c r="T128" s="3">
        <v>21.7</v>
      </c>
      <c r="U128" s="3" t="s">
        <v>5</v>
      </c>
      <c r="V128" s="3">
        <v>36.5</v>
      </c>
      <c r="W128" s="3" t="s">
        <v>7</v>
      </c>
      <c r="X128" s="3">
        <v>55.5</v>
      </c>
      <c r="Y128" s="3" t="s">
        <v>5</v>
      </c>
      <c r="Z128" s="3">
        <v>87.2</v>
      </c>
      <c r="AA128" s="3" t="s">
        <v>3</v>
      </c>
      <c r="AB128" s="3">
        <v>434.2</v>
      </c>
      <c r="AC128" s="3" t="s">
        <v>5</v>
      </c>
      <c r="AD128" s="3">
        <f t="shared" si="1"/>
        <v>127</v>
      </c>
    </row>
    <row r="129" ht="15" customHeight="1" spans="1:30">
      <c r="A129" s="3" t="s">
        <v>446</v>
      </c>
      <c r="B129" s="3" t="s">
        <v>446</v>
      </c>
      <c r="C129" s="3" t="s">
        <v>183</v>
      </c>
      <c r="D129" s="3" t="s">
        <v>51</v>
      </c>
      <c r="E129" s="3" t="s">
        <v>316</v>
      </c>
      <c r="F129" s="3" t="s">
        <v>317</v>
      </c>
      <c r="G129" s="3" t="s">
        <v>318</v>
      </c>
      <c r="H129" s="3">
        <v>86</v>
      </c>
      <c r="I129" s="3" t="s">
        <v>5</v>
      </c>
      <c r="J129" s="3">
        <v>82</v>
      </c>
      <c r="K129" s="3" t="s">
        <v>5</v>
      </c>
      <c r="L129" s="3">
        <v>59</v>
      </c>
      <c r="M129" s="3" t="s">
        <v>5</v>
      </c>
      <c r="N129" s="3">
        <v>52</v>
      </c>
      <c r="O129" s="3" t="s">
        <v>7</v>
      </c>
      <c r="P129" s="3">
        <v>36.5</v>
      </c>
      <c r="Q129" s="3" t="s">
        <v>7</v>
      </c>
      <c r="R129" s="3">
        <v>96.5</v>
      </c>
      <c r="S129" s="3" t="s">
        <v>5</v>
      </c>
      <c r="T129" s="3">
        <v>21.6</v>
      </c>
      <c r="U129" s="3" t="s">
        <v>5</v>
      </c>
      <c r="V129" s="3">
        <v>39</v>
      </c>
      <c r="W129" s="3" t="s">
        <v>5</v>
      </c>
      <c r="X129" s="3">
        <v>57.5</v>
      </c>
      <c r="Y129" s="3" t="s">
        <v>3</v>
      </c>
      <c r="Z129" s="3">
        <v>80.6</v>
      </c>
      <c r="AA129" s="3" t="s">
        <v>5</v>
      </c>
      <c r="AB129" s="3">
        <v>433.6</v>
      </c>
      <c r="AC129" s="3" t="s">
        <v>5</v>
      </c>
      <c r="AD129" s="3">
        <f t="shared" si="1"/>
        <v>128</v>
      </c>
    </row>
    <row r="130" ht="15" customHeight="1" spans="1:30">
      <c r="A130" s="3" t="s">
        <v>447</v>
      </c>
      <c r="B130" s="3" t="s">
        <v>447</v>
      </c>
      <c r="C130" s="3" t="s">
        <v>188</v>
      </c>
      <c r="D130" s="3" t="s">
        <v>51</v>
      </c>
      <c r="E130" s="3" t="s">
        <v>316</v>
      </c>
      <c r="F130" s="3" t="s">
        <v>317</v>
      </c>
      <c r="G130" s="3" t="s">
        <v>318</v>
      </c>
      <c r="H130" s="3">
        <v>92</v>
      </c>
      <c r="I130" s="3" t="s">
        <v>5</v>
      </c>
      <c r="J130" s="3">
        <v>82</v>
      </c>
      <c r="K130" s="3" t="s">
        <v>5</v>
      </c>
      <c r="L130" s="3">
        <v>51</v>
      </c>
      <c r="M130" s="3" t="s">
        <v>5</v>
      </c>
      <c r="N130" s="3">
        <v>58</v>
      </c>
      <c r="O130" s="3" t="s">
        <v>5</v>
      </c>
      <c r="P130" s="3">
        <v>42</v>
      </c>
      <c r="Q130" s="3" t="s">
        <v>3</v>
      </c>
      <c r="R130" s="3">
        <v>88.5</v>
      </c>
      <c r="S130" s="3" t="s">
        <v>5</v>
      </c>
      <c r="T130" s="3">
        <v>19.6</v>
      </c>
      <c r="U130" s="3" t="s">
        <v>5</v>
      </c>
      <c r="V130" s="3">
        <v>33</v>
      </c>
      <c r="W130" s="3" t="s">
        <v>7</v>
      </c>
      <c r="X130" s="3">
        <v>55.5</v>
      </c>
      <c r="Y130" s="3" t="s">
        <v>5</v>
      </c>
      <c r="Z130" s="3">
        <v>70.6</v>
      </c>
      <c r="AA130" s="3" t="s">
        <v>5</v>
      </c>
      <c r="AB130" s="3">
        <v>433.1</v>
      </c>
      <c r="AC130" s="3" t="s">
        <v>5</v>
      </c>
      <c r="AD130" s="3">
        <f t="shared" si="1"/>
        <v>129</v>
      </c>
    </row>
    <row r="131" ht="15" customHeight="1" spans="1:30">
      <c r="A131" s="3" t="s">
        <v>448</v>
      </c>
      <c r="B131" s="3" t="s">
        <v>448</v>
      </c>
      <c r="C131" s="3" t="s">
        <v>205</v>
      </c>
      <c r="D131" s="3" t="s">
        <v>54</v>
      </c>
      <c r="E131" s="3" t="s">
        <v>316</v>
      </c>
      <c r="F131" s="3" t="s">
        <v>317</v>
      </c>
      <c r="G131" s="3" t="s">
        <v>318</v>
      </c>
      <c r="H131" s="3">
        <v>88</v>
      </c>
      <c r="I131" s="3" t="s">
        <v>5</v>
      </c>
      <c r="J131" s="3">
        <v>78</v>
      </c>
      <c r="K131" s="3" t="s">
        <v>5</v>
      </c>
      <c r="L131" s="3">
        <v>55</v>
      </c>
      <c r="M131" s="3" t="s">
        <v>5</v>
      </c>
      <c r="N131" s="3">
        <v>58</v>
      </c>
      <c r="O131" s="3" t="s">
        <v>5</v>
      </c>
      <c r="P131" s="3">
        <v>44.5</v>
      </c>
      <c r="Q131" s="3" t="s">
        <v>3</v>
      </c>
      <c r="R131" s="3">
        <v>89</v>
      </c>
      <c r="S131" s="3" t="s">
        <v>5</v>
      </c>
      <c r="T131" s="3">
        <v>19.4</v>
      </c>
      <c r="U131" s="3" t="s">
        <v>5</v>
      </c>
      <c r="V131" s="3">
        <v>38.5</v>
      </c>
      <c r="W131" s="3" t="s">
        <v>5</v>
      </c>
      <c r="X131" s="3">
        <v>50.5</v>
      </c>
      <c r="Y131" s="3" t="s">
        <v>5</v>
      </c>
      <c r="Z131" s="3">
        <v>74.4</v>
      </c>
      <c r="AA131" s="3" t="s">
        <v>5</v>
      </c>
      <c r="AB131" s="3">
        <v>431.9</v>
      </c>
      <c r="AC131" s="3" t="s">
        <v>5</v>
      </c>
      <c r="AD131" s="3">
        <f t="shared" ref="AD131:AD194" si="2">RANK(AB131,$AB$2:$AB$228,0)</f>
        <v>130</v>
      </c>
    </row>
    <row r="132" ht="15" customHeight="1" spans="1:30">
      <c r="A132" s="3" t="s">
        <v>449</v>
      </c>
      <c r="B132" s="3" t="s">
        <v>449</v>
      </c>
      <c r="C132" s="3" t="s">
        <v>193</v>
      </c>
      <c r="D132" s="3" t="s">
        <v>51</v>
      </c>
      <c r="E132" s="3" t="s">
        <v>316</v>
      </c>
      <c r="F132" s="3" t="s">
        <v>317</v>
      </c>
      <c r="G132" s="3" t="s">
        <v>318</v>
      </c>
      <c r="H132" s="3">
        <v>98</v>
      </c>
      <c r="I132" s="3" t="s">
        <v>3</v>
      </c>
      <c r="J132" s="3">
        <v>72</v>
      </c>
      <c r="K132" s="3" t="s">
        <v>7</v>
      </c>
      <c r="L132" s="3">
        <v>59</v>
      </c>
      <c r="M132" s="3" t="s">
        <v>5</v>
      </c>
      <c r="N132" s="3">
        <v>58.5</v>
      </c>
      <c r="O132" s="3" t="s">
        <v>5</v>
      </c>
      <c r="P132" s="3">
        <v>42</v>
      </c>
      <c r="Q132" s="3" t="s">
        <v>3</v>
      </c>
      <c r="R132" s="3">
        <v>80</v>
      </c>
      <c r="S132" s="3" t="s">
        <v>7</v>
      </c>
      <c r="T132" s="3">
        <v>22.1</v>
      </c>
      <c r="U132" s="3" t="s">
        <v>3</v>
      </c>
      <c r="V132" s="3">
        <v>41</v>
      </c>
      <c r="W132" s="3" t="s">
        <v>5</v>
      </c>
      <c r="X132" s="3">
        <v>39</v>
      </c>
      <c r="Y132" s="3" t="s">
        <v>7</v>
      </c>
      <c r="Z132" s="3">
        <v>81.1</v>
      </c>
      <c r="AA132" s="3" t="s">
        <v>5</v>
      </c>
      <c r="AB132" s="3">
        <v>431.6</v>
      </c>
      <c r="AC132" s="3" t="s">
        <v>5</v>
      </c>
      <c r="AD132" s="3">
        <f t="shared" si="2"/>
        <v>131</v>
      </c>
    </row>
    <row r="133" ht="15" customHeight="1" spans="1:30">
      <c r="A133" s="3" t="s">
        <v>450</v>
      </c>
      <c r="B133" s="3" t="s">
        <v>450</v>
      </c>
      <c r="C133" s="3" t="s">
        <v>191</v>
      </c>
      <c r="D133" s="3" t="s">
        <v>55</v>
      </c>
      <c r="E133" s="3" t="s">
        <v>316</v>
      </c>
      <c r="F133" s="3" t="s">
        <v>317</v>
      </c>
      <c r="G133" s="3" t="s">
        <v>318</v>
      </c>
      <c r="H133" s="3">
        <v>89</v>
      </c>
      <c r="I133" s="3" t="s">
        <v>5</v>
      </c>
      <c r="J133" s="3">
        <v>76</v>
      </c>
      <c r="K133" s="3" t="s">
        <v>5</v>
      </c>
      <c r="L133" s="3">
        <v>67</v>
      </c>
      <c r="M133" s="3" t="s">
        <v>3</v>
      </c>
      <c r="N133" s="3">
        <v>53</v>
      </c>
      <c r="O133" s="3" t="s">
        <v>7</v>
      </c>
      <c r="P133" s="3">
        <v>36.5</v>
      </c>
      <c r="Q133" s="3" t="s">
        <v>7</v>
      </c>
      <c r="R133" s="3">
        <v>86.5</v>
      </c>
      <c r="S133" s="3" t="s">
        <v>5</v>
      </c>
      <c r="T133" s="3">
        <v>22.7</v>
      </c>
      <c r="U133" s="3" t="s">
        <v>3</v>
      </c>
      <c r="V133" s="3">
        <v>37</v>
      </c>
      <c r="W133" s="3" t="s">
        <v>7</v>
      </c>
      <c r="X133" s="3">
        <v>49.5</v>
      </c>
      <c r="Y133" s="3" t="s">
        <v>5</v>
      </c>
      <c r="Z133" s="3">
        <v>89.7</v>
      </c>
      <c r="AA133" s="3" t="s">
        <v>3</v>
      </c>
      <c r="AB133" s="3">
        <v>430.7</v>
      </c>
      <c r="AC133" s="3" t="s">
        <v>5</v>
      </c>
      <c r="AD133" s="3">
        <f t="shared" si="2"/>
        <v>132</v>
      </c>
    </row>
    <row r="134" ht="15" customHeight="1" spans="1:30">
      <c r="A134" s="3" t="s">
        <v>451</v>
      </c>
      <c r="B134" s="3" t="s">
        <v>451</v>
      </c>
      <c r="C134" s="3" t="s">
        <v>182</v>
      </c>
      <c r="D134" s="3" t="s">
        <v>56</v>
      </c>
      <c r="E134" s="3" t="s">
        <v>316</v>
      </c>
      <c r="F134" s="3" t="s">
        <v>317</v>
      </c>
      <c r="G134" s="3" t="s">
        <v>318</v>
      </c>
      <c r="H134" s="3">
        <v>83</v>
      </c>
      <c r="I134" s="3" t="s">
        <v>7</v>
      </c>
      <c r="J134" s="3">
        <v>82</v>
      </c>
      <c r="K134" s="3" t="s">
        <v>5</v>
      </c>
      <c r="L134" s="3">
        <v>63</v>
      </c>
      <c r="M134" s="3" t="s">
        <v>5</v>
      </c>
      <c r="N134" s="3">
        <v>60</v>
      </c>
      <c r="O134" s="3" t="s">
        <v>3</v>
      </c>
      <c r="P134" s="3">
        <v>30.5</v>
      </c>
      <c r="Q134" s="3" t="s">
        <v>9</v>
      </c>
      <c r="R134" s="3">
        <v>91</v>
      </c>
      <c r="S134" s="3" t="s">
        <v>5</v>
      </c>
      <c r="T134" s="3">
        <v>21.2</v>
      </c>
      <c r="U134" s="3" t="s">
        <v>5</v>
      </c>
      <c r="V134" s="3">
        <v>38.5</v>
      </c>
      <c r="W134" s="3" t="s">
        <v>5</v>
      </c>
      <c r="X134" s="3">
        <v>52.5</v>
      </c>
      <c r="Y134" s="3" t="s">
        <v>5</v>
      </c>
      <c r="Z134" s="3">
        <v>84.2</v>
      </c>
      <c r="AA134" s="3" t="s">
        <v>5</v>
      </c>
      <c r="AB134" s="3">
        <v>430.7</v>
      </c>
      <c r="AC134" s="3" t="s">
        <v>5</v>
      </c>
      <c r="AD134" s="3">
        <f t="shared" si="2"/>
        <v>132</v>
      </c>
    </row>
    <row r="135" ht="15" customHeight="1" spans="1:30">
      <c r="A135" s="3" t="s">
        <v>452</v>
      </c>
      <c r="B135" s="3" t="s">
        <v>452</v>
      </c>
      <c r="C135" s="3" t="s">
        <v>187</v>
      </c>
      <c r="D135" s="3" t="s">
        <v>56</v>
      </c>
      <c r="E135" s="3" t="s">
        <v>316</v>
      </c>
      <c r="F135" s="3" t="s">
        <v>317</v>
      </c>
      <c r="G135" s="3" t="s">
        <v>318</v>
      </c>
      <c r="H135" s="3">
        <v>94.5</v>
      </c>
      <c r="I135" s="3" t="s">
        <v>3</v>
      </c>
      <c r="J135" s="3">
        <v>81</v>
      </c>
      <c r="K135" s="3" t="s">
        <v>5</v>
      </c>
      <c r="L135" s="3">
        <v>51.5</v>
      </c>
      <c r="M135" s="3" t="s">
        <v>5</v>
      </c>
      <c r="N135" s="3">
        <v>59.5</v>
      </c>
      <c r="O135" s="3" t="s">
        <v>3</v>
      </c>
      <c r="P135" s="3">
        <v>37.5</v>
      </c>
      <c r="Q135" s="3" t="s">
        <v>5</v>
      </c>
      <c r="R135" s="3">
        <v>87</v>
      </c>
      <c r="S135" s="3" t="s">
        <v>5</v>
      </c>
      <c r="T135" s="3">
        <v>19.3</v>
      </c>
      <c r="U135" s="3" t="s">
        <v>5</v>
      </c>
      <c r="V135" s="3">
        <v>42.5</v>
      </c>
      <c r="W135" s="3" t="s">
        <v>5</v>
      </c>
      <c r="X135" s="3">
        <v>44.5</v>
      </c>
      <c r="Y135" s="3" t="s">
        <v>7</v>
      </c>
      <c r="Z135" s="3">
        <v>70.8</v>
      </c>
      <c r="AA135" s="3" t="s">
        <v>5</v>
      </c>
      <c r="AB135" s="3">
        <v>430.3</v>
      </c>
      <c r="AC135" s="3" t="s">
        <v>5</v>
      </c>
      <c r="AD135" s="3">
        <f t="shared" si="2"/>
        <v>134</v>
      </c>
    </row>
    <row r="136" ht="15" customHeight="1" spans="1:30">
      <c r="A136" s="3" t="s">
        <v>453</v>
      </c>
      <c r="B136" s="3" t="s">
        <v>453</v>
      </c>
      <c r="C136" s="3" t="s">
        <v>198</v>
      </c>
      <c r="D136" s="3" t="s">
        <v>51</v>
      </c>
      <c r="E136" s="3" t="s">
        <v>316</v>
      </c>
      <c r="F136" s="3" t="s">
        <v>317</v>
      </c>
      <c r="G136" s="3" t="s">
        <v>318</v>
      </c>
      <c r="H136" s="3">
        <v>88.5</v>
      </c>
      <c r="I136" s="3" t="s">
        <v>5</v>
      </c>
      <c r="J136" s="3">
        <v>79</v>
      </c>
      <c r="K136" s="3" t="s">
        <v>5</v>
      </c>
      <c r="L136" s="3">
        <v>57.5</v>
      </c>
      <c r="M136" s="3" t="s">
        <v>5</v>
      </c>
      <c r="N136" s="3">
        <v>58.5</v>
      </c>
      <c r="O136" s="3" t="s">
        <v>5</v>
      </c>
      <c r="P136" s="3">
        <v>36</v>
      </c>
      <c r="Q136" s="3" t="s">
        <v>7</v>
      </c>
      <c r="R136" s="3">
        <v>88</v>
      </c>
      <c r="S136" s="3" t="s">
        <v>5</v>
      </c>
      <c r="T136" s="3">
        <v>22.6</v>
      </c>
      <c r="U136" s="3" t="s">
        <v>3</v>
      </c>
      <c r="V136" s="3">
        <v>42.5</v>
      </c>
      <c r="W136" s="3" t="s">
        <v>5</v>
      </c>
      <c r="X136" s="3">
        <v>45.5</v>
      </c>
      <c r="Y136" s="3" t="s">
        <v>7</v>
      </c>
      <c r="Z136" s="3">
        <v>80.1</v>
      </c>
      <c r="AA136" s="3" t="s">
        <v>5</v>
      </c>
      <c r="AB136" s="3">
        <v>430.1</v>
      </c>
      <c r="AC136" s="3" t="s">
        <v>5</v>
      </c>
      <c r="AD136" s="3">
        <f t="shared" si="2"/>
        <v>135</v>
      </c>
    </row>
    <row r="137" ht="15" customHeight="1" spans="1:30">
      <c r="A137" s="3" t="s">
        <v>454</v>
      </c>
      <c r="B137" s="3" t="s">
        <v>454</v>
      </c>
      <c r="C137" s="3" t="s">
        <v>196</v>
      </c>
      <c r="D137" s="3" t="s">
        <v>55</v>
      </c>
      <c r="E137" s="3" t="s">
        <v>316</v>
      </c>
      <c r="F137" s="3" t="s">
        <v>317</v>
      </c>
      <c r="G137" s="3" t="s">
        <v>318</v>
      </c>
      <c r="H137" s="3">
        <v>87.5</v>
      </c>
      <c r="I137" s="3" t="s">
        <v>5</v>
      </c>
      <c r="J137" s="3">
        <v>79</v>
      </c>
      <c r="K137" s="3" t="s">
        <v>5</v>
      </c>
      <c r="L137" s="3">
        <v>60</v>
      </c>
      <c r="M137" s="3" t="s">
        <v>5</v>
      </c>
      <c r="N137" s="3">
        <v>56</v>
      </c>
      <c r="O137" s="3" t="s">
        <v>5</v>
      </c>
      <c r="P137" s="3">
        <v>39</v>
      </c>
      <c r="Q137" s="3" t="s">
        <v>5</v>
      </c>
      <c r="R137" s="3">
        <v>84</v>
      </c>
      <c r="S137" s="3" t="s">
        <v>5</v>
      </c>
      <c r="T137" s="3">
        <v>22.6</v>
      </c>
      <c r="U137" s="3" t="s">
        <v>3</v>
      </c>
      <c r="V137" s="3">
        <v>35.5</v>
      </c>
      <c r="W137" s="3" t="s">
        <v>7</v>
      </c>
      <c r="X137" s="3">
        <v>48.5</v>
      </c>
      <c r="Y137" s="3" t="s">
        <v>5</v>
      </c>
      <c r="Z137" s="3">
        <v>82.6</v>
      </c>
      <c r="AA137" s="3" t="s">
        <v>5</v>
      </c>
      <c r="AB137" s="3">
        <v>428.1</v>
      </c>
      <c r="AC137" s="3" t="s">
        <v>5</v>
      </c>
      <c r="AD137" s="3">
        <f t="shared" si="2"/>
        <v>136</v>
      </c>
    </row>
    <row r="138" ht="15" customHeight="1" spans="1:30">
      <c r="A138" s="3" t="s">
        <v>455</v>
      </c>
      <c r="B138" s="3" t="s">
        <v>455</v>
      </c>
      <c r="C138" s="3" t="s">
        <v>201</v>
      </c>
      <c r="D138" s="3" t="s">
        <v>55</v>
      </c>
      <c r="E138" s="3" t="s">
        <v>316</v>
      </c>
      <c r="F138" s="3" t="s">
        <v>317</v>
      </c>
      <c r="G138" s="3" t="s">
        <v>318</v>
      </c>
      <c r="H138" s="3">
        <v>80</v>
      </c>
      <c r="I138" s="3" t="s">
        <v>7</v>
      </c>
      <c r="J138" s="3">
        <v>84</v>
      </c>
      <c r="K138" s="3" t="s">
        <v>3</v>
      </c>
      <c r="L138" s="3">
        <v>56</v>
      </c>
      <c r="M138" s="3" t="s">
        <v>5</v>
      </c>
      <c r="N138" s="3">
        <v>49.5</v>
      </c>
      <c r="O138" s="3" t="s">
        <v>7</v>
      </c>
      <c r="P138" s="3">
        <v>40</v>
      </c>
      <c r="Q138" s="3" t="s">
        <v>5</v>
      </c>
      <c r="R138" s="3">
        <v>97</v>
      </c>
      <c r="S138" s="3" t="s">
        <v>5</v>
      </c>
      <c r="T138" s="3">
        <v>21.2</v>
      </c>
      <c r="U138" s="3" t="s">
        <v>5</v>
      </c>
      <c r="V138" s="3">
        <v>42.5</v>
      </c>
      <c r="W138" s="3" t="s">
        <v>5</v>
      </c>
      <c r="X138" s="3">
        <v>54.5</v>
      </c>
      <c r="Y138" s="3" t="s">
        <v>5</v>
      </c>
      <c r="Z138" s="3">
        <v>77.2</v>
      </c>
      <c r="AA138" s="3" t="s">
        <v>5</v>
      </c>
      <c r="AB138" s="3">
        <v>427.7</v>
      </c>
      <c r="AC138" s="3" t="s">
        <v>5</v>
      </c>
      <c r="AD138" s="3">
        <f t="shared" si="2"/>
        <v>137</v>
      </c>
    </row>
    <row r="139" ht="15" customHeight="1" spans="1:30">
      <c r="A139" s="3" t="s">
        <v>456</v>
      </c>
      <c r="B139" s="3" t="s">
        <v>456</v>
      </c>
      <c r="C139" s="3" t="s">
        <v>206</v>
      </c>
      <c r="D139" s="3" t="s">
        <v>55</v>
      </c>
      <c r="E139" s="3" t="s">
        <v>316</v>
      </c>
      <c r="F139" s="3" t="s">
        <v>317</v>
      </c>
      <c r="G139" s="3" t="s">
        <v>318</v>
      </c>
      <c r="H139" s="3">
        <v>91.5</v>
      </c>
      <c r="I139" s="3" t="s">
        <v>5</v>
      </c>
      <c r="J139" s="3">
        <v>70</v>
      </c>
      <c r="K139" s="3" t="s">
        <v>7</v>
      </c>
      <c r="L139" s="3">
        <v>69.5</v>
      </c>
      <c r="M139" s="3" t="s">
        <v>3</v>
      </c>
      <c r="N139" s="3">
        <v>51</v>
      </c>
      <c r="O139" s="3" t="s">
        <v>7</v>
      </c>
      <c r="P139" s="3">
        <v>40</v>
      </c>
      <c r="Q139" s="3" t="s">
        <v>5</v>
      </c>
      <c r="R139" s="3">
        <v>84</v>
      </c>
      <c r="S139" s="3" t="s">
        <v>5</v>
      </c>
      <c r="T139" s="3">
        <v>21.6</v>
      </c>
      <c r="U139" s="3" t="s">
        <v>5</v>
      </c>
      <c r="V139" s="3">
        <v>35.5</v>
      </c>
      <c r="W139" s="3" t="s">
        <v>7</v>
      </c>
      <c r="X139" s="3">
        <v>48.5</v>
      </c>
      <c r="Y139" s="3" t="s">
        <v>5</v>
      </c>
      <c r="Z139" s="3">
        <v>91.1</v>
      </c>
      <c r="AA139" s="3" t="s">
        <v>3</v>
      </c>
      <c r="AB139" s="3">
        <v>427.6</v>
      </c>
      <c r="AC139" s="3" t="s">
        <v>5</v>
      </c>
      <c r="AD139" s="3">
        <f t="shared" si="2"/>
        <v>138</v>
      </c>
    </row>
    <row r="140" ht="15" customHeight="1" spans="1:30">
      <c r="A140" s="3" t="s">
        <v>457</v>
      </c>
      <c r="B140" s="3" t="s">
        <v>457</v>
      </c>
      <c r="C140" s="3" t="s">
        <v>203</v>
      </c>
      <c r="D140" s="3" t="s">
        <v>51</v>
      </c>
      <c r="E140" s="3" t="s">
        <v>316</v>
      </c>
      <c r="F140" s="3" t="s">
        <v>317</v>
      </c>
      <c r="G140" s="3" t="s">
        <v>318</v>
      </c>
      <c r="H140" s="3">
        <v>79.5</v>
      </c>
      <c r="I140" s="3" t="s">
        <v>7</v>
      </c>
      <c r="J140" s="3">
        <v>81</v>
      </c>
      <c r="K140" s="3" t="s">
        <v>5</v>
      </c>
      <c r="L140" s="3">
        <v>59.5</v>
      </c>
      <c r="M140" s="3" t="s">
        <v>5</v>
      </c>
      <c r="N140" s="3">
        <v>57</v>
      </c>
      <c r="O140" s="3" t="s">
        <v>5</v>
      </c>
      <c r="P140" s="3">
        <v>40</v>
      </c>
      <c r="Q140" s="3" t="s">
        <v>5</v>
      </c>
      <c r="R140" s="3">
        <v>90</v>
      </c>
      <c r="S140" s="3" t="s">
        <v>5</v>
      </c>
      <c r="T140" s="3">
        <v>20.5</v>
      </c>
      <c r="U140" s="3" t="s">
        <v>5</v>
      </c>
      <c r="V140" s="3">
        <v>42</v>
      </c>
      <c r="W140" s="3" t="s">
        <v>5</v>
      </c>
      <c r="X140" s="3">
        <v>48</v>
      </c>
      <c r="Y140" s="3" t="s">
        <v>5</v>
      </c>
      <c r="Z140" s="3">
        <v>80</v>
      </c>
      <c r="AA140" s="3" t="s">
        <v>5</v>
      </c>
      <c r="AB140" s="3">
        <v>427.5</v>
      </c>
      <c r="AC140" s="3" t="s">
        <v>5</v>
      </c>
      <c r="AD140" s="3">
        <f t="shared" si="2"/>
        <v>139</v>
      </c>
    </row>
    <row r="141" ht="15" customHeight="1" spans="1:30">
      <c r="A141" s="3" t="s">
        <v>458</v>
      </c>
      <c r="B141" s="3" t="s">
        <v>458</v>
      </c>
      <c r="C141" s="3" t="s">
        <v>208</v>
      </c>
      <c r="D141" s="3" t="s">
        <v>51</v>
      </c>
      <c r="E141" s="3" t="s">
        <v>316</v>
      </c>
      <c r="F141" s="3" t="s">
        <v>317</v>
      </c>
      <c r="G141" s="3" t="s">
        <v>318</v>
      </c>
      <c r="H141" s="3">
        <v>82</v>
      </c>
      <c r="I141" s="3" t="s">
        <v>7</v>
      </c>
      <c r="J141" s="3">
        <v>87</v>
      </c>
      <c r="K141" s="3" t="s">
        <v>3</v>
      </c>
      <c r="L141" s="3">
        <v>55</v>
      </c>
      <c r="M141" s="3" t="s">
        <v>5</v>
      </c>
      <c r="N141" s="3">
        <v>50.5</v>
      </c>
      <c r="O141" s="3" t="s">
        <v>7</v>
      </c>
      <c r="P141" s="3">
        <v>36</v>
      </c>
      <c r="Q141" s="3" t="s">
        <v>7</v>
      </c>
      <c r="R141" s="3">
        <v>93.5</v>
      </c>
      <c r="S141" s="3" t="s">
        <v>5</v>
      </c>
      <c r="T141" s="3">
        <v>20.7</v>
      </c>
      <c r="U141" s="3" t="s">
        <v>5</v>
      </c>
      <c r="V141" s="3">
        <v>40</v>
      </c>
      <c r="W141" s="3" t="s">
        <v>5</v>
      </c>
      <c r="X141" s="3">
        <v>53.5</v>
      </c>
      <c r="Y141" s="3" t="s">
        <v>5</v>
      </c>
      <c r="Z141" s="3">
        <v>75.7</v>
      </c>
      <c r="AA141" s="3" t="s">
        <v>5</v>
      </c>
      <c r="AB141" s="3">
        <v>424.7</v>
      </c>
      <c r="AC141" s="3" t="s">
        <v>5</v>
      </c>
      <c r="AD141" s="3">
        <f t="shared" si="2"/>
        <v>140</v>
      </c>
    </row>
    <row r="142" ht="15" customHeight="1" spans="1:30">
      <c r="A142" s="3" t="s">
        <v>459</v>
      </c>
      <c r="B142" s="3" t="s">
        <v>459</v>
      </c>
      <c r="C142" s="3" t="s">
        <v>174</v>
      </c>
      <c r="D142" s="3" t="s">
        <v>53</v>
      </c>
      <c r="E142" s="3" t="s">
        <v>316</v>
      </c>
      <c r="F142" s="3" t="s">
        <v>317</v>
      </c>
      <c r="G142" s="3" t="s">
        <v>318</v>
      </c>
      <c r="H142" s="3">
        <v>90.5</v>
      </c>
      <c r="I142" s="3" t="s">
        <v>5</v>
      </c>
      <c r="J142" s="3">
        <v>75</v>
      </c>
      <c r="K142" s="3" t="s">
        <v>5</v>
      </c>
      <c r="L142" s="3">
        <v>58</v>
      </c>
      <c r="M142" s="3" t="s">
        <v>5</v>
      </c>
      <c r="N142" s="3">
        <v>56</v>
      </c>
      <c r="O142" s="3" t="s">
        <v>5</v>
      </c>
      <c r="P142" s="3">
        <v>35.5</v>
      </c>
      <c r="Q142" s="3" t="s">
        <v>7</v>
      </c>
      <c r="R142" s="3">
        <v>93</v>
      </c>
      <c r="S142" s="3" t="s">
        <v>5</v>
      </c>
      <c r="T142" s="3">
        <v>15.7</v>
      </c>
      <c r="U142" s="3" t="s">
        <v>7</v>
      </c>
      <c r="V142" s="3">
        <v>43</v>
      </c>
      <c r="W142" s="3" t="s">
        <v>5</v>
      </c>
      <c r="X142" s="3">
        <v>50</v>
      </c>
      <c r="Y142" s="3" t="s">
        <v>5</v>
      </c>
      <c r="Z142" s="3">
        <v>73.7</v>
      </c>
      <c r="AA142" s="3" t="s">
        <v>5</v>
      </c>
      <c r="AB142" s="3">
        <v>423.7</v>
      </c>
      <c r="AC142" s="3" t="s">
        <v>5</v>
      </c>
      <c r="AD142" s="3">
        <f t="shared" si="2"/>
        <v>141</v>
      </c>
    </row>
    <row r="143" ht="15" customHeight="1" spans="1:30">
      <c r="A143" s="3" t="s">
        <v>460</v>
      </c>
      <c r="B143" s="3" t="s">
        <v>460</v>
      </c>
      <c r="C143" s="3" t="s">
        <v>179</v>
      </c>
      <c r="D143" s="3" t="s">
        <v>53</v>
      </c>
      <c r="E143" s="3" t="s">
        <v>316</v>
      </c>
      <c r="F143" s="3" t="s">
        <v>317</v>
      </c>
      <c r="G143" s="3" t="s">
        <v>318</v>
      </c>
      <c r="H143" s="3">
        <v>89.5</v>
      </c>
      <c r="I143" s="3" t="s">
        <v>5</v>
      </c>
      <c r="J143" s="3">
        <v>80</v>
      </c>
      <c r="K143" s="3" t="s">
        <v>5</v>
      </c>
      <c r="L143" s="3">
        <v>51.5</v>
      </c>
      <c r="M143" s="3" t="s">
        <v>5</v>
      </c>
      <c r="N143" s="3">
        <v>57</v>
      </c>
      <c r="O143" s="3" t="s">
        <v>5</v>
      </c>
      <c r="P143" s="3">
        <v>35</v>
      </c>
      <c r="Q143" s="3" t="s">
        <v>7</v>
      </c>
      <c r="R143" s="3">
        <v>92.5</v>
      </c>
      <c r="S143" s="3" t="s">
        <v>5</v>
      </c>
      <c r="T143" s="3">
        <v>16</v>
      </c>
      <c r="U143" s="3" t="s">
        <v>7</v>
      </c>
      <c r="V143" s="3">
        <v>38.5</v>
      </c>
      <c r="W143" s="3" t="s">
        <v>5</v>
      </c>
      <c r="X143" s="3">
        <v>54</v>
      </c>
      <c r="Y143" s="3" t="s">
        <v>5</v>
      </c>
      <c r="Z143" s="3">
        <v>67.5</v>
      </c>
      <c r="AA143" s="3" t="s">
        <v>5</v>
      </c>
      <c r="AB143" s="3">
        <v>421.5</v>
      </c>
      <c r="AC143" s="3" t="s">
        <v>5</v>
      </c>
      <c r="AD143" s="3">
        <f t="shared" si="2"/>
        <v>142</v>
      </c>
    </row>
    <row r="144" ht="15" customHeight="1" spans="1:30">
      <c r="A144" s="3" t="s">
        <v>461</v>
      </c>
      <c r="B144" s="3" t="s">
        <v>461</v>
      </c>
      <c r="C144" s="3" t="s">
        <v>184</v>
      </c>
      <c r="D144" s="3" t="s">
        <v>53</v>
      </c>
      <c r="E144" s="3" t="s">
        <v>316</v>
      </c>
      <c r="F144" s="3" t="s">
        <v>317</v>
      </c>
      <c r="G144" s="3" t="s">
        <v>318</v>
      </c>
      <c r="H144" s="3">
        <v>81.5</v>
      </c>
      <c r="I144" s="3" t="s">
        <v>7</v>
      </c>
      <c r="J144" s="3">
        <v>76</v>
      </c>
      <c r="K144" s="3" t="s">
        <v>5</v>
      </c>
      <c r="L144" s="3">
        <v>61</v>
      </c>
      <c r="M144" s="3" t="s">
        <v>5</v>
      </c>
      <c r="N144" s="3">
        <v>61.5</v>
      </c>
      <c r="O144" s="3" t="s">
        <v>3</v>
      </c>
      <c r="P144" s="3">
        <v>39</v>
      </c>
      <c r="Q144" s="3" t="s">
        <v>5</v>
      </c>
      <c r="R144" s="3">
        <v>81</v>
      </c>
      <c r="S144" s="3" t="s">
        <v>7</v>
      </c>
      <c r="T144" s="3">
        <v>21.1</v>
      </c>
      <c r="U144" s="3" t="s">
        <v>5</v>
      </c>
      <c r="V144" s="3">
        <v>33</v>
      </c>
      <c r="W144" s="3" t="s">
        <v>7</v>
      </c>
      <c r="X144" s="3">
        <v>48</v>
      </c>
      <c r="Y144" s="3" t="s">
        <v>5</v>
      </c>
      <c r="Z144" s="3">
        <v>82.1</v>
      </c>
      <c r="AA144" s="3" t="s">
        <v>5</v>
      </c>
      <c r="AB144" s="3">
        <v>421.1</v>
      </c>
      <c r="AC144" s="3" t="s">
        <v>5</v>
      </c>
      <c r="AD144" s="3">
        <f t="shared" si="2"/>
        <v>143</v>
      </c>
    </row>
    <row r="145" ht="15" customHeight="1" spans="1:30">
      <c r="A145" s="3" t="s">
        <v>462</v>
      </c>
      <c r="B145" s="3" t="s">
        <v>462</v>
      </c>
      <c r="C145" s="3" t="s">
        <v>210</v>
      </c>
      <c r="D145" s="3" t="s">
        <v>54</v>
      </c>
      <c r="E145" s="3" t="s">
        <v>316</v>
      </c>
      <c r="F145" s="3" t="s">
        <v>317</v>
      </c>
      <c r="G145" s="3" t="s">
        <v>318</v>
      </c>
      <c r="H145" s="3">
        <v>87.5</v>
      </c>
      <c r="I145" s="3" t="s">
        <v>5</v>
      </c>
      <c r="J145" s="3">
        <v>84</v>
      </c>
      <c r="K145" s="3" t="s">
        <v>3</v>
      </c>
      <c r="L145" s="3">
        <v>46</v>
      </c>
      <c r="M145" s="3" t="s">
        <v>7</v>
      </c>
      <c r="N145" s="3">
        <v>57.5</v>
      </c>
      <c r="O145" s="3" t="s">
        <v>5</v>
      </c>
      <c r="P145" s="3">
        <v>40</v>
      </c>
      <c r="Q145" s="3" t="s">
        <v>5</v>
      </c>
      <c r="R145" s="3">
        <v>87</v>
      </c>
      <c r="S145" s="3" t="s">
        <v>5</v>
      </c>
      <c r="T145" s="3">
        <v>19</v>
      </c>
      <c r="U145" s="3" t="s">
        <v>5</v>
      </c>
      <c r="V145" s="3">
        <v>36</v>
      </c>
      <c r="W145" s="3" t="s">
        <v>7</v>
      </c>
      <c r="X145" s="3">
        <v>51</v>
      </c>
      <c r="Y145" s="3" t="s">
        <v>5</v>
      </c>
      <c r="Z145" s="3">
        <v>65</v>
      </c>
      <c r="AA145" s="3" t="s">
        <v>7</v>
      </c>
      <c r="AB145" s="3">
        <v>421</v>
      </c>
      <c r="AC145" s="3" t="s">
        <v>5</v>
      </c>
      <c r="AD145" s="3">
        <f t="shared" si="2"/>
        <v>144</v>
      </c>
    </row>
    <row r="146" ht="15" customHeight="1" spans="1:30">
      <c r="A146" s="3" t="s">
        <v>463</v>
      </c>
      <c r="B146" s="3" t="s">
        <v>463</v>
      </c>
      <c r="C146" s="3" t="s">
        <v>213</v>
      </c>
      <c r="D146" s="3" t="s">
        <v>51</v>
      </c>
      <c r="E146" s="3" t="s">
        <v>316</v>
      </c>
      <c r="F146" s="3" t="s">
        <v>317</v>
      </c>
      <c r="G146" s="3" t="s">
        <v>318</v>
      </c>
      <c r="H146" s="3">
        <v>90.5</v>
      </c>
      <c r="I146" s="3" t="s">
        <v>5</v>
      </c>
      <c r="J146" s="3">
        <v>81</v>
      </c>
      <c r="K146" s="3" t="s">
        <v>5</v>
      </c>
      <c r="L146" s="3">
        <v>59</v>
      </c>
      <c r="M146" s="3" t="s">
        <v>5</v>
      </c>
      <c r="N146" s="3">
        <v>47.5</v>
      </c>
      <c r="O146" s="3" t="s">
        <v>7</v>
      </c>
      <c r="P146" s="3">
        <v>39</v>
      </c>
      <c r="Q146" s="3" t="s">
        <v>5</v>
      </c>
      <c r="R146" s="3">
        <v>80.5</v>
      </c>
      <c r="S146" s="3" t="s">
        <v>7</v>
      </c>
      <c r="T146" s="3">
        <v>21.9</v>
      </c>
      <c r="U146" s="3" t="s">
        <v>5</v>
      </c>
      <c r="V146" s="3">
        <v>28.5</v>
      </c>
      <c r="W146" s="3" t="s">
        <v>7</v>
      </c>
      <c r="X146" s="3">
        <v>52</v>
      </c>
      <c r="Y146" s="3" t="s">
        <v>5</v>
      </c>
      <c r="Z146" s="3">
        <v>80.9</v>
      </c>
      <c r="AA146" s="3" t="s">
        <v>5</v>
      </c>
      <c r="AB146" s="3">
        <v>419.4</v>
      </c>
      <c r="AC146" s="3" t="s">
        <v>5</v>
      </c>
      <c r="AD146" s="3">
        <f t="shared" si="2"/>
        <v>145</v>
      </c>
    </row>
    <row r="147" ht="15" customHeight="1" spans="1:30">
      <c r="A147" s="3" t="s">
        <v>464</v>
      </c>
      <c r="B147" s="3" t="s">
        <v>464</v>
      </c>
      <c r="C147" s="3" t="s">
        <v>211</v>
      </c>
      <c r="D147" s="3" t="s">
        <v>55</v>
      </c>
      <c r="E147" s="3" t="s">
        <v>316</v>
      </c>
      <c r="F147" s="3" t="s">
        <v>317</v>
      </c>
      <c r="G147" s="3" t="s">
        <v>318</v>
      </c>
      <c r="H147" s="3">
        <v>93</v>
      </c>
      <c r="I147" s="3" t="s">
        <v>3</v>
      </c>
      <c r="J147" s="3">
        <v>82</v>
      </c>
      <c r="K147" s="3" t="s">
        <v>5</v>
      </c>
      <c r="L147" s="3">
        <v>59.5</v>
      </c>
      <c r="M147" s="3" t="s">
        <v>5</v>
      </c>
      <c r="N147" s="3">
        <v>60.5</v>
      </c>
      <c r="O147" s="3" t="s">
        <v>3</v>
      </c>
      <c r="P147" s="3">
        <v>37.5</v>
      </c>
      <c r="Q147" s="3" t="s">
        <v>5</v>
      </c>
      <c r="R147" s="3">
        <v>65.5</v>
      </c>
      <c r="S147" s="3" t="s">
        <v>7</v>
      </c>
      <c r="T147" s="3">
        <v>20.9</v>
      </c>
      <c r="U147" s="3" t="s">
        <v>5</v>
      </c>
      <c r="V147" s="3">
        <v>26.5</v>
      </c>
      <c r="W147" s="3" t="s">
        <v>7</v>
      </c>
      <c r="X147" s="3">
        <v>39</v>
      </c>
      <c r="Y147" s="3" t="s">
        <v>7</v>
      </c>
      <c r="Z147" s="3">
        <v>80.4</v>
      </c>
      <c r="AA147" s="3" t="s">
        <v>5</v>
      </c>
      <c r="AB147" s="3">
        <v>418.9</v>
      </c>
      <c r="AC147" s="3" t="s">
        <v>5</v>
      </c>
      <c r="AD147" s="3">
        <f t="shared" si="2"/>
        <v>146</v>
      </c>
    </row>
    <row r="148" ht="15" customHeight="1" spans="1:30">
      <c r="A148" s="3" t="s">
        <v>465</v>
      </c>
      <c r="B148" s="3" t="s">
        <v>465</v>
      </c>
      <c r="C148" s="3" t="s">
        <v>189</v>
      </c>
      <c r="D148" s="3" t="s">
        <v>53</v>
      </c>
      <c r="E148" s="3" t="s">
        <v>316</v>
      </c>
      <c r="F148" s="3" t="s">
        <v>317</v>
      </c>
      <c r="G148" s="3" t="s">
        <v>318</v>
      </c>
      <c r="H148" s="3">
        <v>76.5</v>
      </c>
      <c r="I148" s="3" t="s">
        <v>7</v>
      </c>
      <c r="J148" s="3">
        <v>87</v>
      </c>
      <c r="K148" s="3" t="s">
        <v>3</v>
      </c>
      <c r="L148" s="3">
        <v>54.5</v>
      </c>
      <c r="M148" s="3" t="s">
        <v>5</v>
      </c>
      <c r="N148" s="3">
        <v>55.5</v>
      </c>
      <c r="O148" s="3" t="s">
        <v>5</v>
      </c>
      <c r="P148" s="3">
        <v>36.5</v>
      </c>
      <c r="Q148" s="3" t="s">
        <v>7</v>
      </c>
      <c r="R148" s="3">
        <v>87</v>
      </c>
      <c r="S148" s="3" t="s">
        <v>5</v>
      </c>
      <c r="T148" s="3">
        <v>21.2</v>
      </c>
      <c r="U148" s="3" t="s">
        <v>5</v>
      </c>
      <c r="V148" s="3">
        <v>36.5</v>
      </c>
      <c r="W148" s="3" t="s">
        <v>7</v>
      </c>
      <c r="X148" s="3">
        <v>50.5</v>
      </c>
      <c r="Y148" s="3" t="s">
        <v>5</v>
      </c>
      <c r="Z148" s="3">
        <v>75.7</v>
      </c>
      <c r="AA148" s="3" t="s">
        <v>5</v>
      </c>
      <c r="AB148" s="3">
        <v>418.2</v>
      </c>
      <c r="AC148" s="3" t="s">
        <v>5</v>
      </c>
      <c r="AD148" s="3">
        <f t="shared" si="2"/>
        <v>147</v>
      </c>
    </row>
    <row r="149" ht="15" customHeight="1" spans="1:30">
      <c r="A149" s="3" t="s">
        <v>466</v>
      </c>
      <c r="B149" s="3" t="s">
        <v>466</v>
      </c>
      <c r="C149" s="3" t="s">
        <v>192</v>
      </c>
      <c r="D149" s="3" t="s">
        <v>56</v>
      </c>
      <c r="E149" s="3" t="s">
        <v>316</v>
      </c>
      <c r="F149" s="3" t="s">
        <v>317</v>
      </c>
      <c r="G149" s="3" t="s">
        <v>318</v>
      </c>
      <c r="H149" s="3">
        <v>84.5</v>
      </c>
      <c r="I149" s="3" t="s">
        <v>5</v>
      </c>
      <c r="J149" s="3">
        <v>77</v>
      </c>
      <c r="K149" s="3" t="s">
        <v>5</v>
      </c>
      <c r="L149" s="3">
        <v>61</v>
      </c>
      <c r="M149" s="3" t="s">
        <v>5</v>
      </c>
      <c r="N149" s="3">
        <v>55</v>
      </c>
      <c r="O149" s="3" t="s">
        <v>5</v>
      </c>
      <c r="P149" s="3">
        <v>40.5</v>
      </c>
      <c r="Q149" s="3" t="s">
        <v>5</v>
      </c>
      <c r="R149" s="3">
        <v>72</v>
      </c>
      <c r="S149" s="3" t="s">
        <v>7</v>
      </c>
      <c r="T149" s="3">
        <v>23</v>
      </c>
      <c r="U149" s="3" t="s">
        <v>3</v>
      </c>
      <c r="V149" s="3">
        <v>26.5</v>
      </c>
      <c r="W149" s="3" t="s">
        <v>7</v>
      </c>
      <c r="X149" s="3">
        <v>45.5</v>
      </c>
      <c r="Y149" s="3" t="s">
        <v>7</v>
      </c>
      <c r="Z149" s="3">
        <v>84</v>
      </c>
      <c r="AA149" s="3" t="s">
        <v>5</v>
      </c>
      <c r="AB149" s="3">
        <v>413</v>
      </c>
      <c r="AC149" s="3" t="s">
        <v>5</v>
      </c>
      <c r="AD149" s="3">
        <f t="shared" si="2"/>
        <v>148</v>
      </c>
    </row>
    <row r="150" ht="15" customHeight="1" spans="1:30">
      <c r="A150" s="3" t="s">
        <v>467</v>
      </c>
      <c r="B150" s="3" t="s">
        <v>467</v>
      </c>
      <c r="C150" s="3" t="s">
        <v>215</v>
      </c>
      <c r="D150" s="3" t="s">
        <v>54</v>
      </c>
      <c r="E150" s="3" t="s">
        <v>316</v>
      </c>
      <c r="F150" s="3" t="s">
        <v>317</v>
      </c>
      <c r="G150" s="3" t="s">
        <v>318</v>
      </c>
      <c r="H150" s="3">
        <v>81.5</v>
      </c>
      <c r="I150" s="3" t="s">
        <v>7</v>
      </c>
      <c r="J150" s="3">
        <v>78</v>
      </c>
      <c r="K150" s="3" t="s">
        <v>5</v>
      </c>
      <c r="L150" s="3">
        <v>55</v>
      </c>
      <c r="M150" s="3" t="s">
        <v>5</v>
      </c>
      <c r="N150" s="3">
        <v>46.5</v>
      </c>
      <c r="O150" s="3" t="s">
        <v>7</v>
      </c>
      <c r="P150" s="3">
        <v>38</v>
      </c>
      <c r="Q150" s="3" t="s">
        <v>5</v>
      </c>
      <c r="R150" s="3">
        <v>94.5</v>
      </c>
      <c r="S150" s="3" t="s">
        <v>5</v>
      </c>
      <c r="T150" s="3">
        <v>17.6</v>
      </c>
      <c r="U150" s="3" t="s">
        <v>7</v>
      </c>
      <c r="V150" s="3">
        <v>47.5</v>
      </c>
      <c r="W150" s="3" t="s">
        <v>3</v>
      </c>
      <c r="X150" s="3">
        <v>47</v>
      </c>
      <c r="Y150" s="3" t="s">
        <v>5</v>
      </c>
      <c r="Z150" s="3">
        <v>72.6</v>
      </c>
      <c r="AA150" s="3" t="s">
        <v>5</v>
      </c>
      <c r="AB150" s="3">
        <v>411.1</v>
      </c>
      <c r="AC150" s="3" t="s">
        <v>5</v>
      </c>
      <c r="AD150" s="3">
        <f t="shared" si="2"/>
        <v>149</v>
      </c>
    </row>
    <row r="151" ht="15" customHeight="1" spans="1:30">
      <c r="A151" s="3" t="s">
        <v>468</v>
      </c>
      <c r="B151" s="3" t="s">
        <v>468</v>
      </c>
      <c r="C151" s="3" t="s">
        <v>216</v>
      </c>
      <c r="D151" s="3" t="s">
        <v>55</v>
      </c>
      <c r="E151" s="3" t="s">
        <v>316</v>
      </c>
      <c r="F151" s="3" t="s">
        <v>317</v>
      </c>
      <c r="G151" s="3" t="s">
        <v>318</v>
      </c>
      <c r="H151" s="3">
        <v>81</v>
      </c>
      <c r="I151" s="3" t="s">
        <v>7</v>
      </c>
      <c r="J151" s="3">
        <v>77</v>
      </c>
      <c r="K151" s="3" t="s">
        <v>5</v>
      </c>
      <c r="L151" s="3">
        <v>64</v>
      </c>
      <c r="M151" s="3" t="s">
        <v>3</v>
      </c>
      <c r="N151" s="3">
        <v>47.5</v>
      </c>
      <c r="O151" s="3" t="s">
        <v>7</v>
      </c>
      <c r="P151" s="3">
        <v>33</v>
      </c>
      <c r="Q151" s="3" t="s">
        <v>7</v>
      </c>
      <c r="R151" s="3">
        <v>88</v>
      </c>
      <c r="S151" s="3" t="s">
        <v>5</v>
      </c>
      <c r="T151" s="3">
        <v>20.3</v>
      </c>
      <c r="U151" s="3" t="s">
        <v>5</v>
      </c>
      <c r="V151" s="3">
        <v>37.5</v>
      </c>
      <c r="W151" s="3" t="s">
        <v>5</v>
      </c>
      <c r="X151" s="3">
        <v>50.5</v>
      </c>
      <c r="Y151" s="3" t="s">
        <v>5</v>
      </c>
      <c r="Z151" s="3">
        <v>84.3</v>
      </c>
      <c r="AA151" s="3" t="s">
        <v>5</v>
      </c>
      <c r="AB151" s="3">
        <v>410.8</v>
      </c>
      <c r="AC151" s="3" t="s">
        <v>5</v>
      </c>
      <c r="AD151" s="3">
        <f t="shared" si="2"/>
        <v>150</v>
      </c>
    </row>
    <row r="152" ht="15" customHeight="1" spans="1:30">
      <c r="A152" s="3" t="s">
        <v>469</v>
      </c>
      <c r="B152" s="3" t="s">
        <v>469</v>
      </c>
      <c r="C152" s="3" t="s">
        <v>197</v>
      </c>
      <c r="D152" s="3" t="s">
        <v>56</v>
      </c>
      <c r="E152" s="3" t="s">
        <v>316</v>
      </c>
      <c r="F152" s="3" t="s">
        <v>317</v>
      </c>
      <c r="G152" s="3" t="s">
        <v>318</v>
      </c>
      <c r="H152" s="3">
        <v>89.5</v>
      </c>
      <c r="I152" s="3" t="s">
        <v>5</v>
      </c>
      <c r="J152" s="3">
        <v>78</v>
      </c>
      <c r="K152" s="3" t="s">
        <v>5</v>
      </c>
      <c r="L152" s="3">
        <v>47.5</v>
      </c>
      <c r="M152" s="3" t="s">
        <v>7</v>
      </c>
      <c r="N152" s="3">
        <v>53</v>
      </c>
      <c r="O152" s="3" t="s">
        <v>7</v>
      </c>
      <c r="P152" s="3">
        <v>36</v>
      </c>
      <c r="Q152" s="3" t="s">
        <v>7</v>
      </c>
      <c r="R152" s="3">
        <v>86</v>
      </c>
      <c r="S152" s="3" t="s">
        <v>5</v>
      </c>
      <c r="T152" s="3">
        <v>19.4</v>
      </c>
      <c r="U152" s="3" t="s">
        <v>5</v>
      </c>
      <c r="V152" s="3">
        <v>43</v>
      </c>
      <c r="W152" s="3" t="s">
        <v>5</v>
      </c>
      <c r="X152" s="3">
        <v>43</v>
      </c>
      <c r="Y152" s="3" t="s">
        <v>7</v>
      </c>
      <c r="Z152" s="3">
        <v>66.9</v>
      </c>
      <c r="AA152" s="3" t="s">
        <v>5</v>
      </c>
      <c r="AB152" s="3">
        <v>409.4</v>
      </c>
      <c r="AC152" s="3" t="s">
        <v>5</v>
      </c>
      <c r="AD152" s="3">
        <f t="shared" si="2"/>
        <v>151</v>
      </c>
    </row>
    <row r="153" ht="15" customHeight="1" spans="1:30">
      <c r="A153" s="3" t="s">
        <v>470</v>
      </c>
      <c r="B153" s="3" t="s">
        <v>470</v>
      </c>
      <c r="C153" s="3" t="s">
        <v>194</v>
      </c>
      <c r="D153" s="3" t="s">
        <v>53</v>
      </c>
      <c r="E153" s="3" t="s">
        <v>316</v>
      </c>
      <c r="F153" s="3" t="s">
        <v>317</v>
      </c>
      <c r="G153" s="3" t="s">
        <v>318</v>
      </c>
      <c r="H153" s="3">
        <v>88.5</v>
      </c>
      <c r="I153" s="3" t="s">
        <v>5</v>
      </c>
      <c r="J153" s="3">
        <v>78</v>
      </c>
      <c r="K153" s="3" t="s">
        <v>5</v>
      </c>
      <c r="L153" s="3">
        <v>57.5</v>
      </c>
      <c r="M153" s="3" t="s">
        <v>5</v>
      </c>
      <c r="N153" s="3">
        <v>51</v>
      </c>
      <c r="O153" s="3" t="s">
        <v>7</v>
      </c>
      <c r="P153" s="3">
        <v>38</v>
      </c>
      <c r="Q153" s="3" t="s">
        <v>5</v>
      </c>
      <c r="R153" s="3">
        <v>75</v>
      </c>
      <c r="S153" s="3" t="s">
        <v>7</v>
      </c>
      <c r="T153" s="3">
        <v>20.4</v>
      </c>
      <c r="U153" s="3" t="s">
        <v>5</v>
      </c>
      <c r="V153" s="3">
        <v>26.5</v>
      </c>
      <c r="W153" s="3" t="s">
        <v>7</v>
      </c>
      <c r="X153" s="3">
        <v>48.5</v>
      </c>
      <c r="Y153" s="3" t="s">
        <v>5</v>
      </c>
      <c r="Z153" s="3">
        <v>77.9</v>
      </c>
      <c r="AA153" s="3" t="s">
        <v>5</v>
      </c>
      <c r="AB153" s="3">
        <v>408.4</v>
      </c>
      <c r="AC153" s="3" t="s">
        <v>5</v>
      </c>
      <c r="AD153" s="3">
        <f t="shared" si="2"/>
        <v>152</v>
      </c>
    </row>
    <row r="154" ht="15" customHeight="1" spans="1:30">
      <c r="A154" s="3" t="s">
        <v>471</v>
      </c>
      <c r="B154" s="3" t="s">
        <v>471</v>
      </c>
      <c r="C154" s="3" t="s">
        <v>202</v>
      </c>
      <c r="D154" s="3" t="s">
        <v>56</v>
      </c>
      <c r="E154" s="3" t="s">
        <v>316</v>
      </c>
      <c r="F154" s="3" t="s">
        <v>317</v>
      </c>
      <c r="G154" s="3" t="s">
        <v>318</v>
      </c>
      <c r="H154" s="3">
        <v>81</v>
      </c>
      <c r="I154" s="3" t="s">
        <v>7</v>
      </c>
      <c r="J154" s="3">
        <v>80</v>
      </c>
      <c r="K154" s="3" t="s">
        <v>5</v>
      </c>
      <c r="L154" s="3">
        <v>57</v>
      </c>
      <c r="M154" s="3" t="s">
        <v>5</v>
      </c>
      <c r="N154" s="3">
        <v>50</v>
      </c>
      <c r="O154" s="3" t="s">
        <v>7</v>
      </c>
      <c r="P154" s="3">
        <v>35</v>
      </c>
      <c r="Q154" s="3" t="s">
        <v>7</v>
      </c>
      <c r="R154" s="3">
        <v>91.5</v>
      </c>
      <c r="S154" s="3" t="s">
        <v>5</v>
      </c>
      <c r="T154" s="3">
        <v>13.3</v>
      </c>
      <c r="U154" s="3" t="s">
        <v>7</v>
      </c>
      <c r="V154" s="3">
        <v>41</v>
      </c>
      <c r="W154" s="3" t="s">
        <v>5</v>
      </c>
      <c r="X154" s="3">
        <v>50.5</v>
      </c>
      <c r="Y154" s="3" t="s">
        <v>5</v>
      </c>
      <c r="Z154" s="3">
        <v>70.3</v>
      </c>
      <c r="AA154" s="3" t="s">
        <v>5</v>
      </c>
      <c r="AB154" s="3">
        <v>407.8</v>
      </c>
      <c r="AC154" s="3" t="s">
        <v>5</v>
      </c>
      <c r="AD154" s="3">
        <f t="shared" si="2"/>
        <v>153</v>
      </c>
    </row>
    <row r="155" ht="15" customHeight="1" spans="1:30">
      <c r="A155" s="3" t="s">
        <v>472</v>
      </c>
      <c r="B155" s="3" t="s">
        <v>472</v>
      </c>
      <c r="C155" s="3" t="s">
        <v>199</v>
      </c>
      <c r="D155" s="3" t="s">
        <v>53</v>
      </c>
      <c r="E155" s="3" t="s">
        <v>316</v>
      </c>
      <c r="F155" s="3" t="s">
        <v>317</v>
      </c>
      <c r="G155" s="3" t="s">
        <v>318</v>
      </c>
      <c r="H155" s="3">
        <v>68.5</v>
      </c>
      <c r="I155" s="3" t="s">
        <v>9</v>
      </c>
      <c r="J155" s="3">
        <v>73</v>
      </c>
      <c r="K155" s="3" t="s">
        <v>7</v>
      </c>
      <c r="L155" s="3">
        <v>52</v>
      </c>
      <c r="M155" s="3" t="s">
        <v>5</v>
      </c>
      <c r="N155" s="3">
        <v>59.5</v>
      </c>
      <c r="O155" s="3" t="s">
        <v>3</v>
      </c>
      <c r="P155" s="3">
        <v>35.5</v>
      </c>
      <c r="Q155" s="3" t="s">
        <v>7</v>
      </c>
      <c r="R155" s="3">
        <v>98</v>
      </c>
      <c r="S155" s="3" t="s">
        <v>5</v>
      </c>
      <c r="T155" s="3">
        <v>20.5</v>
      </c>
      <c r="U155" s="3" t="s">
        <v>5</v>
      </c>
      <c r="V155" s="3">
        <v>46.5</v>
      </c>
      <c r="W155" s="3" t="s">
        <v>3</v>
      </c>
      <c r="X155" s="3">
        <v>51.5</v>
      </c>
      <c r="Y155" s="3" t="s">
        <v>5</v>
      </c>
      <c r="Z155" s="3">
        <v>72.5</v>
      </c>
      <c r="AA155" s="3" t="s">
        <v>5</v>
      </c>
      <c r="AB155" s="3">
        <v>407</v>
      </c>
      <c r="AC155" s="3" t="s">
        <v>5</v>
      </c>
      <c r="AD155" s="3">
        <f t="shared" si="2"/>
        <v>154</v>
      </c>
    </row>
    <row r="156" ht="15" customHeight="1" spans="1:30">
      <c r="A156" s="3" t="s">
        <v>473</v>
      </c>
      <c r="B156" s="3" t="s">
        <v>473</v>
      </c>
      <c r="C156" s="3" t="s">
        <v>204</v>
      </c>
      <c r="D156" s="3" t="s">
        <v>53</v>
      </c>
      <c r="E156" s="3" t="s">
        <v>316</v>
      </c>
      <c r="F156" s="3" t="s">
        <v>317</v>
      </c>
      <c r="G156" s="3" t="s">
        <v>318</v>
      </c>
      <c r="H156" s="3">
        <v>82</v>
      </c>
      <c r="I156" s="3" t="s">
        <v>7</v>
      </c>
      <c r="J156" s="3">
        <v>80</v>
      </c>
      <c r="K156" s="3" t="s">
        <v>5</v>
      </c>
      <c r="L156" s="3">
        <v>58</v>
      </c>
      <c r="M156" s="3" t="s">
        <v>5</v>
      </c>
      <c r="N156" s="3">
        <v>49.5</v>
      </c>
      <c r="O156" s="3" t="s">
        <v>7</v>
      </c>
      <c r="P156" s="3">
        <v>35</v>
      </c>
      <c r="Q156" s="3" t="s">
        <v>7</v>
      </c>
      <c r="R156" s="3">
        <v>81</v>
      </c>
      <c r="S156" s="3" t="s">
        <v>7</v>
      </c>
      <c r="T156" s="3">
        <v>20.2</v>
      </c>
      <c r="U156" s="3" t="s">
        <v>5</v>
      </c>
      <c r="V156" s="3">
        <v>36</v>
      </c>
      <c r="W156" s="3" t="s">
        <v>7</v>
      </c>
      <c r="X156" s="3">
        <v>45</v>
      </c>
      <c r="Y156" s="3" t="s">
        <v>7</v>
      </c>
      <c r="Z156" s="3">
        <v>78.2</v>
      </c>
      <c r="AA156" s="3" t="s">
        <v>5</v>
      </c>
      <c r="AB156" s="3">
        <v>405.7</v>
      </c>
      <c r="AC156" s="3" t="s">
        <v>5</v>
      </c>
      <c r="AD156" s="3">
        <f t="shared" si="2"/>
        <v>155</v>
      </c>
    </row>
    <row r="157" ht="15" customHeight="1" spans="1:30">
      <c r="A157" s="3" t="s">
        <v>474</v>
      </c>
      <c r="B157" s="3" t="s">
        <v>474</v>
      </c>
      <c r="C157" s="3" t="s">
        <v>220</v>
      </c>
      <c r="D157" s="3" t="s">
        <v>54</v>
      </c>
      <c r="E157" s="3" t="s">
        <v>316</v>
      </c>
      <c r="F157" s="3" t="s">
        <v>317</v>
      </c>
      <c r="G157" s="3" t="s">
        <v>318</v>
      </c>
      <c r="H157" s="3">
        <v>92.5</v>
      </c>
      <c r="I157" s="3" t="s">
        <v>3</v>
      </c>
      <c r="J157" s="3">
        <v>80</v>
      </c>
      <c r="K157" s="3" t="s">
        <v>5</v>
      </c>
      <c r="L157" s="3">
        <v>38.5</v>
      </c>
      <c r="M157" s="3" t="s">
        <v>7</v>
      </c>
      <c r="N157" s="3">
        <v>52.5</v>
      </c>
      <c r="O157" s="3" t="s">
        <v>7</v>
      </c>
      <c r="P157" s="3">
        <v>41</v>
      </c>
      <c r="Q157" s="3" t="s">
        <v>5</v>
      </c>
      <c r="R157" s="3">
        <v>84</v>
      </c>
      <c r="S157" s="3" t="s">
        <v>5</v>
      </c>
      <c r="T157" s="3">
        <v>16.2</v>
      </c>
      <c r="U157" s="3" t="s">
        <v>7</v>
      </c>
      <c r="V157" s="3">
        <v>32.5</v>
      </c>
      <c r="W157" s="3" t="s">
        <v>7</v>
      </c>
      <c r="X157" s="3">
        <v>51.5</v>
      </c>
      <c r="Y157" s="3" t="s">
        <v>5</v>
      </c>
      <c r="Z157" s="3">
        <v>54.7</v>
      </c>
      <c r="AA157" s="3" t="s">
        <v>7</v>
      </c>
      <c r="AB157" s="3">
        <v>404.7</v>
      </c>
      <c r="AC157" s="3" t="s">
        <v>5</v>
      </c>
      <c r="AD157" s="3">
        <f t="shared" si="2"/>
        <v>156</v>
      </c>
    </row>
    <row r="158" ht="15" customHeight="1" spans="1:30">
      <c r="A158" s="3" t="s">
        <v>475</v>
      </c>
      <c r="B158" s="3" t="s">
        <v>475</v>
      </c>
      <c r="C158" s="3" t="s">
        <v>209</v>
      </c>
      <c r="D158" s="3" t="s">
        <v>53</v>
      </c>
      <c r="E158" s="3" t="s">
        <v>316</v>
      </c>
      <c r="F158" s="3" t="s">
        <v>317</v>
      </c>
      <c r="G158" s="3" t="s">
        <v>318</v>
      </c>
      <c r="H158" s="3">
        <v>86.5</v>
      </c>
      <c r="I158" s="3" t="s">
        <v>5</v>
      </c>
      <c r="J158" s="3">
        <v>86</v>
      </c>
      <c r="K158" s="3" t="s">
        <v>3</v>
      </c>
      <c r="L158" s="3">
        <v>61</v>
      </c>
      <c r="M158" s="3" t="s">
        <v>5</v>
      </c>
      <c r="N158" s="3">
        <v>48</v>
      </c>
      <c r="O158" s="3" t="s">
        <v>7</v>
      </c>
      <c r="P158" s="3">
        <v>38</v>
      </c>
      <c r="Q158" s="3" t="s">
        <v>5</v>
      </c>
      <c r="R158" s="3">
        <v>63</v>
      </c>
      <c r="S158" s="3" t="s">
        <v>7</v>
      </c>
      <c r="T158" s="3">
        <v>21.7</v>
      </c>
      <c r="U158" s="3" t="s">
        <v>5</v>
      </c>
      <c r="V158" s="3">
        <v>24</v>
      </c>
      <c r="W158" s="3" t="s">
        <v>9</v>
      </c>
      <c r="X158" s="3">
        <v>39</v>
      </c>
      <c r="Y158" s="3" t="s">
        <v>7</v>
      </c>
      <c r="Z158" s="3">
        <v>82.7</v>
      </c>
      <c r="AA158" s="3" t="s">
        <v>5</v>
      </c>
      <c r="AB158" s="3">
        <v>404.2</v>
      </c>
      <c r="AC158" s="3" t="s">
        <v>5</v>
      </c>
      <c r="AD158" s="3">
        <f t="shared" si="2"/>
        <v>157</v>
      </c>
    </row>
    <row r="159" ht="15" customHeight="1" spans="1:30">
      <c r="A159" s="3" t="s">
        <v>476</v>
      </c>
      <c r="B159" s="3" t="s">
        <v>476</v>
      </c>
      <c r="C159" s="3" t="s">
        <v>207</v>
      </c>
      <c r="D159" s="3" t="s">
        <v>56</v>
      </c>
      <c r="E159" s="3" t="s">
        <v>316</v>
      </c>
      <c r="F159" s="3" t="s">
        <v>317</v>
      </c>
      <c r="G159" s="3" t="s">
        <v>318</v>
      </c>
      <c r="H159" s="3">
        <v>89</v>
      </c>
      <c r="I159" s="3" t="s">
        <v>5</v>
      </c>
      <c r="J159" s="3">
        <v>80</v>
      </c>
      <c r="K159" s="3" t="s">
        <v>5</v>
      </c>
      <c r="L159" s="3">
        <v>50.5</v>
      </c>
      <c r="M159" s="3" t="s">
        <v>5</v>
      </c>
      <c r="N159" s="3">
        <v>54</v>
      </c>
      <c r="O159" s="3" t="s">
        <v>5</v>
      </c>
      <c r="P159" s="3">
        <v>38</v>
      </c>
      <c r="Q159" s="3" t="s">
        <v>5</v>
      </c>
      <c r="R159" s="3">
        <v>72</v>
      </c>
      <c r="S159" s="3" t="s">
        <v>7</v>
      </c>
      <c r="T159" s="3">
        <v>17.5</v>
      </c>
      <c r="U159" s="3" t="s">
        <v>7</v>
      </c>
      <c r="V159" s="3">
        <v>30</v>
      </c>
      <c r="W159" s="3" t="s">
        <v>7</v>
      </c>
      <c r="X159" s="3">
        <v>42</v>
      </c>
      <c r="Y159" s="3" t="s">
        <v>7</v>
      </c>
      <c r="Z159" s="3">
        <v>68</v>
      </c>
      <c r="AA159" s="3" t="s">
        <v>5</v>
      </c>
      <c r="AB159" s="3">
        <v>401</v>
      </c>
      <c r="AC159" s="3" t="s">
        <v>7</v>
      </c>
      <c r="AD159" s="3">
        <f t="shared" si="2"/>
        <v>158</v>
      </c>
    </row>
    <row r="160" ht="15" customHeight="1" spans="1:30">
      <c r="A160" s="3" t="s">
        <v>477</v>
      </c>
      <c r="B160" s="3" t="s">
        <v>477</v>
      </c>
      <c r="C160" s="3" t="s">
        <v>218</v>
      </c>
      <c r="D160" s="3" t="s">
        <v>51</v>
      </c>
      <c r="E160" s="3" t="s">
        <v>316</v>
      </c>
      <c r="F160" s="3" t="s">
        <v>317</v>
      </c>
      <c r="G160" s="3" t="s">
        <v>318</v>
      </c>
      <c r="H160" s="3">
        <v>89</v>
      </c>
      <c r="I160" s="3" t="s">
        <v>5</v>
      </c>
      <c r="J160" s="3">
        <v>78</v>
      </c>
      <c r="K160" s="3" t="s">
        <v>5</v>
      </c>
      <c r="L160" s="3">
        <v>35</v>
      </c>
      <c r="M160" s="3" t="s">
        <v>7</v>
      </c>
      <c r="N160" s="3">
        <v>56</v>
      </c>
      <c r="O160" s="3" t="s">
        <v>5</v>
      </c>
      <c r="P160" s="3">
        <v>42</v>
      </c>
      <c r="Q160" s="3" t="s">
        <v>3</v>
      </c>
      <c r="R160" s="3">
        <v>88</v>
      </c>
      <c r="S160" s="3" t="s">
        <v>5</v>
      </c>
      <c r="T160" s="3">
        <v>12.4</v>
      </c>
      <c r="U160" s="3" t="s">
        <v>7</v>
      </c>
      <c r="V160" s="3">
        <v>39</v>
      </c>
      <c r="W160" s="3" t="s">
        <v>5</v>
      </c>
      <c r="X160" s="3">
        <v>49</v>
      </c>
      <c r="Y160" s="3" t="s">
        <v>5</v>
      </c>
      <c r="Z160" s="3">
        <v>47.4</v>
      </c>
      <c r="AA160" s="3" t="s">
        <v>7</v>
      </c>
      <c r="AB160" s="3">
        <v>400.4</v>
      </c>
      <c r="AC160" s="3" t="s">
        <v>7</v>
      </c>
      <c r="AD160" s="3">
        <f t="shared" si="2"/>
        <v>159</v>
      </c>
    </row>
    <row r="161" ht="15" customHeight="1" spans="1:30">
      <c r="A161" s="3" t="s">
        <v>478</v>
      </c>
      <c r="B161" s="3" t="s">
        <v>478</v>
      </c>
      <c r="C161" s="3" t="s">
        <v>225</v>
      </c>
      <c r="D161" s="3" t="s">
        <v>54</v>
      </c>
      <c r="E161" s="3" t="s">
        <v>316</v>
      </c>
      <c r="F161" s="3" t="s">
        <v>317</v>
      </c>
      <c r="G161" s="3" t="s">
        <v>318</v>
      </c>
      <c r="H161" s="3">
        <v>80.5</v>
      </c>
      <c r="I161" s="3" t="s">
        <v>7</v>
      </c>
      <c r="J161" s="3">
        <v>82</v>
      </c>
      <c r="K161" s="3" t="s">
        <v>5</v>
      </c>
      <c r="L161" s="3">
        <v>52</v>
      </c>
      <c r="M161" s="3" t="s">
        <v>5</v>
      </c>
      <c r="N161" s="3">
        <v>43.5</v>
      </c>
      <c r="O161" s="3" t="s">
        <v>9</v>
      </c>
      <c r="P161" s="3">
        <v>38</v>
      </c>
      <c r="Q161" s="3" t="s">
        <v>5</v>
      </c>
      <c r="R161" s="3">
        <v>81.5</v>
      </c>
      <c r="S161" s="3" t="s">
        <v>7</v>
      </c>
      <c r="T161" s="3">
        <v>22.4</v>
      </c>
      <c r="U161" s="3" t="s">
        <v>3</v>
      </c>
      <c r="V161" s="3">
        <v>37</v>
      </c>
      <c r="W161" s="3" t="s">
        <v>7</v>
      </c>
      <c r="X161" s="3">
        <v>44.5</v>
      </c>
      <c r="Y161" s="3" t="s">
        <v>7</v>
      </c>
      <c r="Z161" s="3">
        <v>74.4</v>
      </c>
      <c r="AA161" s="3" t="s">
        <v>5</v>
      </c>
      <c r="AB161" s="3">
        <v>399.9</v>
      </c>
      <c r="AC161" s="3" t="s">
        <v>7</v>
      </c>
      <c r="AD161" s="3">
        <f t="shared" si="2"/>
        <v>160</v>
      </c>
    </row>
    <row r="162" ht="15" customHeight="1" spans="1:30">
      <c r="A162" s="3" t="s">
        <v>479</v>
      </c>
      <c r="B162" s="3" t="s">
        <v>479</v>
      </c>
      <c r="C162" s="3" t="s">
        <v>212</v>
      </c>
      <c r="D162" s="3" t="s">
        <v>56</v>
      </c>
      <c r="E162" s="3" t="s">
        <v>316</v>
      </c>
      <c r="F162" s="3" t="s">
        <v>317</v>
      </c>
      <c r="G162" s="3" t="s">
        <v>318</v>
      </c>
      <c r="H162" s="3">
        <v>79</v>
      </c>
      <c r="I162" s="3" t="s">
        <v>7</v>
      </c>
      <c r="J162" s="3">
        <v>74</v>
      </c>
      <c r="K162" s="3" t="s">
        <v>7</v>
      </c>
      <c r="L162" s="3">
        <v>66</v>
      </c>
      <c r="M162" s="3" t="s">
        <v>3</v>
      </c>
      <c r="N162" s="3">
        <v>50</v>
      </c>
      <c r="O162" s="3" t="s">
        <v>7</v>
      </c>
      <c r="P162" s="3">
        <v>36</v>
      </c>
      <c r="Q162" s="3" t="s">
        <v>7</v>
      </c>
      <c r="R162" s="3">
        <v>73</v>
      </c>
      <c r="S162" s="3" t="s">
        <v>7</v>
      </c>
      <c r="T162" s="3">
        <v>21.8</v>
      </c>
      <c r="U162" s="3" t="s">
        <v>5</v>
      </c>
      <c r="V162" s="3">
        <v>32.5</v>
      </c>
      <c r="W162" s="3" t="s">
        <v>7</v>
      </c>
      <c r="X162" s="3">
        <v>40.5</v>
      </c>
      <c r="Y162" s="3" t="s">
        <v>7</v>
      </c>
      <c r="Z162" s="3">
        <v>87.8</v>
      </c>
      <c r="AA162" s="3" t="s">
        <v>3</v>
      </c>
      <c r="AB162" s="3">
        <v>399.8</v>
      </c>
      <c r="AC162" s="3" t="s">
        <v>7</v>
      </c>
      <c r="AD162" s="3">
        <f t="shared" si="2"/>
        <v>161</v>
      </c>
    </row>
    <row r="163" ht="15" customHeight="1" spans="1:30">
      <c r="A163" s="3" t="s">
        <v>480</v>
      </c>
      <c r="B163" s="3" t="s">
        <v>480</v>
      </c>
      <c r="C163" s="3" t="s">
        <v>214</v>
      </c>
      <c r="D163" s="3" t="s">
        <v>53</v>
      </c>
      <c r="E163" s="3" t="s">
        <v>316</v>
      </c>
      <c r="F163" s="3" t="s">
        <v>317</v>
      </c>
      <c r="G163" s="3" t="s">
        <v>318</v>
      </c>
      <c r="H163" s="3">
        <v>81.5</v>
      </c>
      <c r="I163" s="3" t="s">
        <v>7</v>
      </c>
      <c r="J163" s="3">
        <v>77</v>
      </c>
      <c r="K163" s="3" t="s">
        <v>5</v>
      </c>
      <c r="L163" s="3">
        <v>51</v>
      </c>
      <c r="M163" s="3" t="s">
        <v>5</v>
      </c>
      <c r="N163" s="3">
        <v>51</v>
      </c>
      <c r="O163" s="3" t="s">
        <v>7</v>
      </c>
      <c r="P163" s="3">
        <v>36.5</v>
      </c>
      <c r="Q163" s="3" t="s">
        <v>7</v>
      </c>
      <c r="R163" s="3">
        <v>84.5</v>
      </c>
      <c r="S163" s="3" t="s">
        <v>5</v>
      </c>
      <c r="T163" s="3">
        <v>17.8</v>
      </c>
      <c r="U163" s="3" t="s">
        <v>7</v>
      </c>
      <c r="V163" s="3">
        <v>35.5</v>
      </c>
      <c r="W163" s="3" t="s">
        <v>7</v>
      </c>
      <c r="X163" s="3">
        <v>49</v>
      </c>
      <c r="Y163" s="3" t="s">
        <v>5</v>
      </c>
      <c r="Z163" s="3">
        <v>68.8</v>
      </c>
      <c r="AA163" s="3" t="s">
        <v>5</v>
      </c>
      <c r="AB163" s="3">
        <v>399.3</v>
      </c>
      <c r="AC163" s="3" t="s">
        <v>7</v>
      </c>
      <c r="AD163" s="3">
        <f t="shared" si="2"/>
        <v>162</v>
      </c>
    </row>
    <row r="164" ht="15" customHeight="1" spans="1:30">
      <c r="A164" s="3" t="s">
        <v>481</v>
      </c>
      <c r="B164" s="3" t="s">
        <v>481</v>
      </c>
      <c r="C164" s="3" t="s">
        <v>219</v>
      </c>
      <c r="D164" s="3" t="s">
        <v>53</v>
      </c>
      <c r="E164" s="3" t="s">
        <v>316</v>
      </c>
      <c r="F164" s="3" t="s">
        <v>317</v>
      </c>
      <c r="G164" s="3" t="s">
        <v>318</v>
      </c>
      <c r="H164" s="3">
        <v>89</v>
      </c>
      <c r="I164" s="3" t="s">
        <v>5</v>
      </c>
      <c r="J164" s="3">
        <v>76</v>
      </c>
      <c r="K164" s="3" t="s">
        <v>5</v>
      </c>
      <c r="L164" s="3">
        <v>50</v>
      </c>
      <c r="M164" s="3" t="s">
        <v>5</v>
      </c>
      <c r="N164" s="3">
        <v>45</v>
      </c>
      <c r="O164" s="3" t="s">
        <v>9</v>
      </c>
      <c r="P164" s="3">
        <v>36.5</v>
      </c>
      <c r="Q164" s="3" t="s">
        <v>7</v>
      </c>
      <c r="R164" s="3">
        <v>85.5</v>
      </c>
      <c r="S164" s="3" t="s">
        <v>5</v>
      </c>
      <c r="T164" s="3">
        <v>16.6</v>
      </c>
      <c r="U164" s="3" t="s">
        <v>7</v>
      </c>
      <c r="V164" s="3">
        <v>34.5</v>
      </c>
      <c r="W164" s="3" t="s">
        <v>7</v>
      </c>
      <c r="X164" s="3">
        <v>51</v>
      </c>
      <c r="Y164" s="3" t="s">
        <v>5</v>
      </c>
      <c r="Z164" s="3">
        <v>66.6</v>
      </c>
      <c r="AA164" s="3" t="s">
        <v>5</v>
      </c>
      <c r="AB164" s="3">
        <v>398.6</v>
      </c>
      <c r="AC164" s="3" t="s">
        <v>7</v>
      </c>
      <c r="AD164" s="3">
        <f t="shared" si="2"/>
        <v>163</v>
      </c>
    </row>
    <row r="165" ht="15" customHeight="1" spans="1:30">
      <c r="A165" s="3" t="s">
        <v>482</v>
      </c>
      <c r="B165" s="3" t="s">
        <v>482</v>
      </c>
      <c r="C165" s="3" t="s">
        <v>217</v>
      </c>
      <c r="D165" s="3" t="s">
        <v>56</v>
      </c>
      <c r="E165" s="3" t="s">
        <v>316</v>
      </c>
      <c r="F165" s="3" t="s">
        <v>317</v>
      </c>
      <c r="G165" s="3" t="s">
        <v>318</v>
      </c>
      <c r="H165" s="3">
        <v>86.5</v>
      </c>
      <c r="I165" s="3" t="s">
        <v>5</v>
      </c>
      <c r="J165" s="3">
        <v>70</v>
      </c>
      <c r="K165" s="3" t="s">
        <v>7</v>
      </c>
      <c r="L165" s="3">
        <v>59</v>
      </c>
      <c r="M165" s="3" t="s">
        <v>5</v>
      </c>
      <c r="N165" s="3">
        <v>56</v>
      </c>
      <c r="O165" s="3" t="s">
        <v>5</v>
      </c>
      <c r="P165" s="3">
        <v>40</v>
      </c>
      <c r="Q165" s="3" t="s">
        <v>5</v>
      </c>
      <c r="R165" s="3">
        <v>65.5</v>
      </c>
      <c r="S165" s="3" t="s">
        <v>7</v>
      </c>
      <c r="T165" s="3">
        <v>19.3</v>
      </c>
      <c r="U165" s="3" t="s">
        <v>5</v>
      </c>
      <c r="V165" s="3">
        <v>32.5</v>
      </c>
      <c r="W165" s="3" t="s">
        <v>7</v>
      </c>
      <c r="X165" s="3">
        <v>33</v>
      </c>
      <c r="Y165" s="3" t="s">
        <v>7</v>
      </c>
      <c r="Z165" s="3">
        <v>78.3</v>
      </c>
      <c r="AA165" s="3" t="s">
        <v>5</v>
      </c>
      <c r="AB165" s="3">
        <v>396.3</v>
      </c>
      <c r="AC165" s="3" t="s">
        <v>7</v>
      </c>
      <c r="AD165" s="3">
        <f t="shared" si="2"/>
        <v>164</v>
      </c>
    </row>
    <row r="166" ht="15" customHeight="1" spans="1:30">
      <c r="A166" s="3" t="s">
        <v>483</v>
      </c>
      <c r="B166" s="3" t="s">
        <v>483</v>
      </c>
      <c r="C166" s="3" t="s">
        <v>230</v>
      </c>
      <c r="D166" s="3" t="s">
        <v>54</v>
      </c>
      <c r="E166" s="3" t="s">
        <v>316</v>
      </c>
      <c r="F166" s="3" t="s">
        <v>317</v>
      </c>
      <c r="G166" s="3" t="s">
        <v>318</v>
      </c>
      <c r="H166" s="3">
        <v>88.5</v>
      </c>
      <c r="I166" s="3" t="s">
        <v>5</v>
      </c>
      <c r="J166" s="3">
        <v>81</v>
      </c>
      <c r="K166" s="3" t="s">
        <v>5</v>
      </c>
      <c r="L166" s="3">
        <v>18</v>
      </c>
      <c r="M166" s="3" t="s">
        <v>9</v>
      </c>
      <c r="N166" s="3">
        <v>58.5</v>
      </c>
      <c r="O166" s="3" t="s">
        <v>5</v>
      </c>
      <c r="P166" s="3">
        <v>37</v>
      </c>
      <c r="Q166" s="3" t="s">
        <v>7</v>
      </c>
      <c r="R166" s="3">
        <v>100</v>
      </c>
      <c r="S166" s="3" t="s">
        <v>5</v>
      </c>
      <c r="T166" s="3">
        <v>12.9</v>
      </c>
      <c r="U166" s="3" t="s">
        <v>7</v>
      </c>
      <c r="V166" s="3">
        <v>46</v>
      </c>
      <c r="W166" s="3" t="s">
        <v>3</v>
      </c>
      <c r="X166" s="3">
        <v>54</v>
      </c>
      <c r="Y166" s="3" t="s">
        <v>5</v>
      </c>
      <c r="Z166" s="3">
        <v>30.9</v>
      </c>
      <c r="AA166" s="3" t="s">
        <v>9</v>
      </c>
      <c r="AB166" s="3">
        <v>395.9</v>
      </c>
      <c r="AC166" s="3" t="s">
        <v>7</v>
      </c>
      <c r="AD166" s="3">
        <f t="shared" si="2"/>
        <v>165</v>
      </c>
    </row>
    <row r="167" ht="15" customHeight="1" spans="1:30">
      <c r="A167" s="3" t="s">
        <v>484</v>
      </c>
      <c r="B167" s="3" t="s">
        <v>484</v>
      </c>
      <c r="C167" s="3" t="s">
        <v>224</v>
      </c>
      <c r="D167" s="3" t="s">
        <v>53</v>
      </c>
      <c r="E167" s="3" t="s">
        <v>316</v>
      </c>
      <c r="F167" s="3" t="s">
        <v>317</v>
      </c>
      <c r="G167" s="3" t="s">
        <v>318</v>
      </c>
      <c r="H167" s="3">
        <v>74.5</v>
      </c>
      <c r="I167" s="3" t="s">
        <v>7</v>
      </c>
      <c r="J167" s="3">
        <v>81</v>
      </c>
      <c r="K167" s="3" t="s">
        <v>5</v>
      </c>
      <c r="L167" s="3">
        <v>46.5</v>
      </c>
      <c r="M167" s="3" t="s">
        <v>7</v>
      </c>
      <c r="N167" s="3">
        <v>54</v>
      </c>
      <c r="O167" s="3" t="s">
        <v>5</v>
      </c>
      <c r="P167" s="3">
        <v>39</v>
      </c>
      <c r="Q167" s="3" t="s">
        <v>5</v>
      </c>
      <c r="R167" s="3">
        <v>82.5</v>
      </c>
      <c r="S167" s="3" t="s">
        <v>7</v>
      </c>
      <c r="T167" s="3">
        <v>17.6</v>
      </c>
      <c r="U167" s="3" t="s">
        <v>7</v>
      </c>
      <c r="V167" s="3">
        <v>34.5</v>
      </c>
      <c r="W167" s="3" t="s">
        <v>7</v>
      </c>
      <c r="X167" s="3">
        <v>48</v>
      </c>
      <c r="Y167" s="3" t="s">
        <v>5</v>
      </c>
      <c r="Z167" s="3">
        <v>64.1</v>
      </c>
      <c r="AA167" s="3" t="s">
        <v>7</v>
      </c>
      <c r="AB167" s="3">
        <v>395.1</v>
      </c>
      <c r="AC167" s="3" t="s">
        <v>7</v>
      </c>
      <c r="AD167" s="3">
        <f t="shared" si="2"/>
        <v>166</v>
      </c>
    </row>
    <row r="168" ht="15" customHeight="1" spans="1:30">
      <c r="A168" s="3" t="s">
        <v>485</v>
      </c>
      <c r="B168" s="3" t="s">
        <v>485</v>
      </c>
      <c r="C168" s="3" t="s">
        <v>229</v>
      </c>
      <c r="D168" s="3" t="s">
        <v>53</v>
      </c>
      <c r="E168" s="3" t="s">
        <v>316</v>
      </c>
      <c r="F168" s="3" t="s">
        <v>317</v>
      </c>
      <c r="G168" s="3" t="s">
        <v>318</v>
      </c>
      <c r="H168" s="3">
        <v>89</v>
      </c>
      <c r="I168" s="3" t="s">
        <v>5</v>
      </c>
      <c r="J168" s="3">
        <v>86</v>
      </c>
      <c r="K168" s="3" t="s">
        <v>3</v>
      </c>
      <c r="L168" s="3">
        <v>46</v>
      </c>
      <c r="M168" s="3" t="s">
        <v>7</v>
      </c>
      <c r="N168" s="3">
        <v>48</v>
      </c>
      <c r="O168" s="3" t="s">
        <v>7</v>
      </c>
      <c r="P168" s="3">
        <v>38</v>
      </c>
      <c r="Q168" s="3" t="s">
        <v>5</v>
      </c>
      <c r="R168" s="3">
        <v>69</v>
      </c>
      <c r="S168" s="3" t="s">
        <v>7</v>
      </c>
      <c r="T168" s="3">
        <v>18.3</v>
      </c>
      <c r="U168" s="3" t="s">
        <v>5</v>
      </c>
      <c r="V168" s="3">
        <v>34.5</v>
      </c>
      <c r="W168" s="3" t="s">
        <v>7</v>
      </c>
      <c r="X168" s="3">
        <v>34.5</v>
      </c>
      <c r="Y168" s="3" t="s">
        <v>7</v>
      </c>
      <c r="Z168" s="3">
        <v>64.3</v>
      </c>
      <c r="AA168" s="3" t="s">
        <v>7</v>
      </c>
      <c r="AB168" s="3">
        <v>394.3</v>
      </c>
      <c r="AC168" s="3" t="s">
        <v>7</v>
      </c>
      <c r="AD168" s="3">
        <f t="shared" si="2"/>
        <v>167</v>
      </c>
    </row>
    <row r="169" ht="15" customHeight="1" spans="1:30">
      <c r="A169" s="3" t="s">
        <v>486</v>
      </c>
      <c r="B169" s="3" t="s">
        <v>486</v>
      </c>
      <c r="C169" s="3" t="s">
        <v>222</v>
      </c>
      <c r="D169" s="3" t="s">
        <v>56</v>
      </c>
      <c r="E169" s="3" t="s">
        <v>316</v>
      </c>
      <c r="F169" s="3" t="s">
        <v>317</v>
      </c>
      <c r="G169" s="3" t="s">
        <v>318</v>
      </c>
      <c r="H169" s="3">
        <v>92</v>
      </c>
      <c r="I169" s="3" t="s">
        <v>5</v>
      </c>
      <c r="J169" s="3">
        <v>66</v>
      </c>
      <c r="K169" s="3" t="s">
        <v>7</v>
      </c>
      <c r="L169" s="3">
        <v>67.5</v>
      </c>
      <c r="M169" s="3" t="s">
        <v>3</v>
      </c>
      <c r="N169" s="3">
        <v>47.5</v>
      </c>
      <c r="O169" s="3" t="s">
        <v>7</v>
      </c>
      <c r="P169" s="3">
        <v>39.5</v>
      </c>
      <c r="Q169" s="3" t="s">
        <v>5</v>
      </c>
      <c r="R169" s="3">
        <v>60</v>
      </c>
      <c r="S169" s="3" t="s">
        <v>7</v>
      </c>
      <c r="T169" s="3">
        <v>21.7</v>
      </c>
      <c r="U169" s="3" t="s">
        <v>5</v>
      </c>
      <c r="V169" s="3">
        <v>28</v>
      </c>
      <c r="W169" s="3" t="s">
        <v>7</v>
      </c>
      <c r="X169" s="3">
        <v>32</v>
      </c>
      <c r="Y169" s="3" t="s">
        <v>7</v>
      </c>
      <c r="Z169" s="3">
        <v>89.2</v>
      </c>
      <c r="AA169" s="3" t="s">
        <v>3</v>
      </c>
      <c r="AB169" s="3">
        <v>394.2</v>
      </c>
      <c r="AC169" s="3" t="s">
        <v>7</v>
      </c>
      <c r="AD169" s="3">
        <f t="shared" si="2"/>
        <v>168</v>
      </c>
    </row>
    <row r="170" ht="15" customHeight="1" spans="1:30">
      <c r="A170" s="3" t="s">
        <v>487</v>
      </c>
      <c r="B170" s="3" t="s">
        <v>487</v>
      </c>
      <c r="C170" s="3" t="s">
        <v>235</v>
      </c>
      <c r="D170" s="3" t="s">
        <v>54</v>
      </c>
      <c r="E170" s="3" t="s">
        <v>316</v>
      </c>
      <c r="F170" s="3" t="s">
        <v>317</v>
      </c>
      <c r="G170" s="3" t="s">
        <v>318</v>
      </c>
      <c r="H170" s="3">
        <v>86.5</v>
      </c>
      <c r="I170" s="3" t="s">
        <v>5</v>
      </c>
      <c r="J170" s="3">
        <v>78</v>
      </c>
      <c r="K170" s="3" t="s">
        <v>5</v>
      </c>
      <c r="L170" s="3">
        <v>61.5</v>
      </c>
      <c r="M170" s="3" t="s">
        <v>5</v>
      </c>
      <c r="N170" s="3">
        <v>39</v>
      </c>
      <c r="O170" s="3" t="s">
        <v>9</v>
      </c>
      <c r="P170" s="3">
        <v>39</v>
      </c>
      <c r="Q170" s="3" t="s">
        <v>5</v>
      </c>
      <c r="R170" s="3">
        <v>68.5</v>
      </c>
      <c r="S170" s="3" t="s">
        <v>7</v>
      </c>
      <c r="T170" s="3">
        <v>21.4</v>
      </c>
      <c r="U170" s="3" t="s">
        <v>5</v>
      </c>
      <c r="V170" s="3">
        <v>38</v>
      </c>
      <c r="W170" s="3" t="s">
        <v>5</v>
      </c>
      <c r="X170" s="3">
        <v>30.5</v>
      </c>
      <c r="Y170" s="3" t="s">
        <v>7</v>
      </c>
      <c r="Z170" s="3">
        <v>82.9</v>
      </c>
      <c r="AA170" s="3" t="s">
        <v>5</v>
      </c>
      <c r="AB170" s="3">
        <v>393.9</v>
      </c>
      <c r="AC170" s="3" t="s">
        <v>7</v>
      </c>
      <c r="AD170" s="3">
        <f t="shared" si="2"/>
        <v>169</v>
      </c>
    </row>
    <row r="171" ht="15" customHeight="1" spans="1:30">
      <c r="A171" s="3" t="s">
        <v>488</v>
      </c>
      <c r="B171" s="3" t="s">
        <v>488</v>
      </c>
      <c r="C171" s="3" t="s">
        <v>221</v>
      </c>
      <c r="D171" s="3" t="s">
        <v>55</v>
      </c>
      <c r="E171" s="3" t="s">
        <v>316</v>
      </c>
      <c r="F171" s="3" t="s">
        <v>317</v>
      </c>
      <c r="G171" s="3" t="s">
        <v>318</v>
      </c>
      <c r="H171" s="3">
        <v>76.5</v>
      </c>
      <c r="I171" s="3" t="s">
        <v>7</v>
      </c>
      <c r="J171" s="3">
        <v>84</v>
      </c>
      <c r="K171" s="3" t="s">
        <v>3</v>
      </c>
      <c r="L171" s="3">
        <v>54</v>
      </c>
      <c r="M171" s="3" t="s">
        <v>5</v>
      </c>
      <c r="N171" s="3">
        <v>47.5</v>
      </c>
      <c r="O171" s="3" t="s">
        <v>7</v>
      </c>
      <c r="P171" s="3">
        <v>37.5</v>
      </c>
      <c r="Q171" s="3" t="s">
        <v>5</v>
      </c>
      <c r="R171" s="3">
        <v>76.5</v>
      </c>
      <c r="S171" s="3" t="s">
        <v>7</v>
      </c>
      <c r="T171" s="3">
        <v>14.9</v>
      </c>
      <c r="U171" s="3" t="s">
        <v>7</v>
      </c>
      <c r="V171" s="3">
        <v>29.5</v>
      </c>
      <c r="W171" s="3" t="s">
        <v>7</v>
      </c>
      <c r="X171" s="3">
        <v>47</v>
      </c>
      <c r="Y171" s="3" t="s">
        <v>5</v>
      </c>
      <c r="Z171" s="3">
        <v>68.9</v>
      </c>
      <c r="AA171" s="3" t="s">
        <v>5</v>
      </c>
      <c r="AB171" s="3">
        <v>390.9</v>
      </c>
      <c r="AC171" s="3" t="s">
        <v>7</v>
      </c>
      <c r="AD171" s="3">
        <f t="shared" si="2"/>
        <v>170</v>
      </c>
    </row>
    <row r="172" ht="15" customHeight="1" spans="1:30">
      <c r="A172" s="3" t="s">
        <v>489</v>
      </c>
      <c r="B172" s="3" t="s">
        <v>489</v>
      </c>
      <c r="C172" s="3" t="s">
        <v>234</v>
      </c>
      <c r="D172" s="3" t="s">
        <v>53</v>
      </c>
      <c r="E172" s="3" t="s">
        <v>316</v>
      </c>
      <c r="F172" s="3" t="s">
        <v>317</v>
      </c>
      <c r="G172" s="3" t="s">
        <v>318</v>
      </c>
      <c r="H172" s="3">
        <v>77.5</v>
      </c>
      <c r="I172" s="3" t="s">
        <v>7</v>
      </c>
      <c r="J172" s="3">
        <v>78</v>
      </c>
      <c r="K172" s="3" t="s">
        <v>5</v>
      </c>
      <c r="L172" s="3">
        <v>40</v>
      </c>
      <c r="M172" s="3" t="s">
        <v>7</v>
      </c>
      <c r="N172" s="3">
        <v>51</v>
      </c>
      <c r="O172" s="3" t="s">
        <v>7</v>
      </c>
      <c r="P172" s="3">
        <v>37.5</v>
      </c>
      <c r="Q172" s="3" t="s">
        <v>5</v>
      </c>
      <c r="R172" s="3">
        <v>88</v>
      </c>
      <c r="S172" s="3" t="s">
        <v>5</v>
      </c>
      <c r="T172" s="3">
        <v>17.4</v>
      </c>
      <c r="U172" s="3" t="s">
        <v>7</v>
      </c>
      <c r="V172" s="3">
        <v>35</v>
      </c>
      <c r="W172" s="3" t="s">
        <v>7</v>
      </c>
      <c r="X172" s="3">
        <v>53</v>
      </c>
      <c r="Y172" s="3" t="s">
        <v>5</v>
      </c>
      <c r="Z172" s="3">
        <v>57.4</v>
      </c>
      <c r="AA172" s="3" t="s">
        <v>7</v>
      </c>
      <c r="AB172" s="3">
        <v>389.4</v>
      </c>
      <c r="AC172" s="3" t="s">
        <v>7</v>
      </c>
      <c r="AD172" s="3">
        <f t="shared" si="2"/>
        <v>171</v>
      </c>
    </row>
    <row r="173" ht="15" customHeight="1" spans="1:30">
      <c r="A173" s="3" t="s">
        <v>490</v>
      </c>
      <c r="B173" s="3" t="s">
        <v>490</v>
      </c>
      <c r="C173" s="3" t="s">
        <v>226</v>
      </c>
      <c r="D173" s="3" t="s">
        <v>55</v>
      </c>
      <c r="E173" s="3" t="s">
        <v>316</v>
      </c>
      <c r="F173" s="3" t="s">
        <v>317</v>
      </c>
      <c r="G173" s="3" t="s">
        <v>318</v>
      </c>
      <c r="H173" s="3">
        <v>85</v>
      </c>
      <c r="I173" s="3" t="s">
        <v>5</v>
      </c>
      <c r="J173" s="3">
        <v>69</v>
      </c>
      <c r="K173" s="3" t="s">
        <v>7</v>
      </c>
      <c r="L173" s="3">
        <v>60</v>
      </c>
      <c r="M173" s="3" t="s">
        <v>5</v>
      </c>
      <c r="N173" s="3">
        <v>45</v>
      </c>
      <c r="O173" s="3" t="s">
        <v>9</v>
      </c>
      <c r="P173" s="3">
        <v>37</v>
      </c>
      <c r="Q173" s="3" t="s">
        <v>7</v>
      </c>
      <c r="R173" s="3">
        <v>71.5</v>
      </c>
      <c r="S173" s="3" t="s">
        <v>7</v>
      </c>
      <c r="T173" s="3">
        <v>21.5</v>
      </c>
      <c r="U173" s="3" t="s">
        <v>5</v>
      </c>
      <c r="V173" s="3">
        <v>27.5</v>
      </c>
      <c r="W173" s="3" t="s">
        <v>7</v>
      </c>
      <c r="X173" s="3">
        <v>44</v>
      </c>
      <c r="Y173" s="3" t="s">
        <v>7</v>
      </c>
      <c r="Z173" s="3">
        <v>81.5</v>
      </c>
      <c r="AA173" s="3" t="s">
        <v>5</v>
      </c>
      <c r="AB173" s="3">
        <v>389</v>
      </c>
      <c r="AC173" s="3" t="s">
        <v>7</v>
      </c>
      <c r="AD173" s="3">
        <f t="shared" si="2"/>
        <v>172</v>
      </c>
    </row>
    <row r="174" ht="15" customHeight="1" spans="1:30">
      <c r="A174" s="3" t="s">
        <v>491</v>
      </c>
      <c r="B174" s="3" t="s">
        <v>491</v>
      </c>
      <c r="C174" s="3" t="s">
        <v>227</v>
      </c>
      <c r="D174" s="3" t="s">
        <v>56</v>
      </c>
      <c r="E174" s="3" t="s">
        <v>316</v>
      </c>
      <c r="F174" s="3" t="s">
        <v>317</v>
      </c>
      <c r="G174" s="3" t="s">
        <v>318</v>
      </c>
      <c r="H174" s="3">
        <v>87.5</v>
      </c>
      <c r="I174" s="3" t="s">
        <v>5</v>
      </c>
      <c r="J174" s="3">
        <v>79</v>
      </c>
      <c r="K174" s="3" t="s">
        <v>5</v>
      </c>
      <c r="L174" s="3">
        <v>50.5</v>
      </c>
      <c r="M174" s="3" t="s">
        <v>5</v>
      </c>
      <c r="N174" s="3">
        <v>54</v>
      </c>
      <c r="O174" s="3" t="s">
        <v>5</v>
      </c>
      <c r="P174" s="3">
        <v>39.5</v>
      </c>
      <c r="Q174" s="3" t="s">
        <v>5</v>
      </c>
      <c r="R174" s="3">
        <v>59.5</v>
      </c>
      <c r="S174" s="3" t="s">
        <v>7</v>
      </c>
      <c r="T174" s="3">
        <v>16.8</v>
      </c>
      <c r="U174" s="3" t="s">
        <v>7</v>
      </c>
      <c r="V174" s="3">
        <v>21</v>
      </c>
      <c r="W174" s="3" t="s">
        <v>9</v>
      </c>
      <c r="X174" s="3">
        <v>38.5</v>
      </c>
      <c r="Y174" s="3" t="s">
        <v>7</v>
      </c>
      <c r="Z174" s="3">
        <v>67.3</v>
      </c>
      <c r="AA174" s="3" t="s">
        <v>5</v>
      </c>
      <c r="AB174" s="3">
        <v>386.8</v>
      </c>
      <c r="AC174" s="3" t="s">
        <v>7</v>
      </c>
      <c r="AD174" s="3">
        <f t="shared" si="2"/>
        <v>173</v>
      </c>
    </row>
    <row r="175" ht="15" customHeight="1" spans="1:30">
      <c r="A175" s="3" t="s">
        <v>492</v>
      </c>
      <c r="B175" s="3" t="s">
        <v>492</v>
      </c>
      <c r="C175" s="3" t="s">
        <v>232</v>
      </c>
      <c r="D175" s="3" t="s">
        <v>56</v>
      </c>
      <c r="E175" s="3" t="s">
        <v>316</v>
      </c>
      <c r="F175" s="3" t="s">
        <v>317</v>
      </c>
      <c r="G175" s="3" t="s">
        <v>318</v>
      </c>
      <c r="H175" s="3">
        <v>73.5</v>
      </c>
      <c r="I175" s="3" t="s">
        <v>9</v>
      </c>
      <c r="J175" s="3">
        <v>77</v>
      </c>
      <c r="K175" s="3" t="s">
        <v>5</v>
      </c>
      <c r="L175" s="3">
        <v>56</v>
      </c>
      <c r="M175" s="3" t="s">
        <v>5</v>
      </c>
      <c r="N175" s="3">
        <v>44</v>
      </c>
      <c r="O175" s="3" t="s">
        <v>9</v>
      </c>
      <c r="P175" s="3">
        <v>38</v>
      </c>
      <c r="Q175" s="3" t="s">
        <v>5</v>
      </c>
      <c r="R175" s="3">
        <v>78</v>
      </c>
      <c r="S175" s="3" t="s">
        <v>7</v>
      </c>
      <c r="T175" s="3">
        <v>19.4</v>
      </c>
      <c r="U175" s="3" t="s">
        <v>5</v>
      </c>
      <c r="V175" s="3">
        <v>35.5</v>
      </c>
      <c r="W175" s="3" t="s">
        <v>7</v>
      </c>
      <c r="X175" s="3">
        <v>42.5</v>
      </c>
      <c r="Y175" s="3" t="s">
        <v>7</v>
      </c>
      <c r="Z175" s="3">
        <v>75.4</v>
      </c>
      <c r="AA175" s="3" t="s">
        <v>5</v>
      </c>
      <c r="AB175" s="3">
        <v>385.9</v>
      </c>
      <c r="AC175" s="3" t="s">
        <v>7</v>
      </c>
      <c r="AD175" s="3">
        <f t="shared" si="2"/>
        <v>174</v>
      </c>
    </row>
    <row r="176" ht="15" customHeight="1" spans="1:30">
      <c r="A176" s="3" t="s">
        <v>493</v>
      </c>
      <c r="B176" s="3" t="s">
        <v>493</v>
      </c>
      <c r="C176" s="3" t="s">
        <v>231</v>
      </c>
      <c r="D176" s="3" t="s">
        <v>55</v>
      </c>
      <c r="E176" s="3" t="s">
        <v>316</v>
      </c>
      <c r="F176" s="3" t="s">
        <v>317</v>
      </c>
      <c r="G176" s="3" t="s">
        <v>318</v>
      </c>
      <c r="H176" s="3">
        <v>84</v>
      </c>
      <c r="I176" s="3" t="s">
        <v>7</v>
      </c>
      <c r="J176" s="3">
        <v>80</v>
      </c>
      <c r="K176" s="3" t="s">
        <v>5</v>
      </c>
      <c r="L176" s="3">
        <v>31</v>
      </c>
      <c r="M176" s="3" t="s">
        <v>7</v>
      </c>
      <c r="N176" s="3">
        <v>53</v>
      </c>
      <c r="O176" s="3" t="s">
        <v>7</v>
      </c>
      <c r="P176" s="3">
        <v>40</v>
      </c>
      <c r="Q176" s="3" t="s">
        <v>5</v>
      </c>
      <c r="R176" s="3">
        <v>80.5</v>
      </c>
      <c r="S176" s="3" t="s">
        <v>7</v>
      </c>
      <c r="T176" s="3">
        <v>16.7</v>
      </c>
      <c r="U176" s="3" t="s">
        <v>7</v>
      </c>
      <c r="V176" s="3">
        <v>40</v>
      </c>
      <c r="W176" s="3" t="s">
        <v>5</v>
      </c>
      <c r="X176" s="3">
        <v>40.5</v>
      </c>
      <c r="Y176" s="3" t="s">
        <v>7</v>
      </c>
      <c r="Z176" s="3">
        <v>47.7</v>
      </c>
      <c r="AA176" s="3" t="s">
        <v>7</v>
      </c>
      <c r="AB176" s="3">
        <v>385.2</v>
      </c>
      <c r="AC176" s="3" t="s">
        <v>7</v>
      </c>
      <c r="AD176" s="3">
        <f t="shared" si="2"/>
        <v>175</v>
      </c>
    </row>
    <row r="177" ht="15" customHeight="1" spans="1:30">
      <c r="A177" s="3" t="s">
        <v>494</v>
      </c>
      <c r="B177" s="3" t="s">
        <v>494</v>
      </c>
      <c r="C177" s="3" t="s">
        <v>240</v>
      </c>
      <c r="D177" s="3" t="s">
        <v>54</v>
      </c>
      <c r="E177" s="3" t="s">
        <v>316</v>
      </c>
      <c r="F177" s="3" t="s">
        <v>317</v>
      </c>
      <c r="G177" s="3" t="s">
        <v>318</v>
      </c>
      <c r="H177" s="3">
        <v>89.5</v>
      </c>
      <c r="I177" s="3" t="s">
        <v>5</v>
      </c>
      <c r="J177" s="3">
        <v>72</v>
      </c>
      <c r="K177" s="3" t="s">
        <v>7</v>
      </c>
      <c r="L177" s="3">
        <v>43</v>
      </c>
      <c r="M177" s="3" t="s">
        <v>7</v>
      </c>
      <c r="N177" s="3">
        <v>44.5</v>
      </c>
      <c r="O177" s="3" t="s">
        <v>9</v>
      </c>
      <c r="P177" s="3">
        <v>42.5</v>
      </c>
      <c r="Q177" s="3" t="s">
        <v>3</v>
      </c>
      <c r="R177" s="3">
        <v>71</v>
      </c>
      <c r="S177" s="3" t="s">
        <v>7</v>
      </c>
      <c r="T177" s="3">
        <v>19.8</v>
      </c>
      <c r="U177" s="3" t="s">
        <v>5</v>
      </c>
      <c r="V177" s="3">
        <v>32.5</v>
      </c>
      <c r="W177" s="3" t="s">
        <v>7</v>
      </c>
      <c r="X177" s="3">
        <v>38.5</v>
      </c>
      <c r="Y177" s="3" t="s">
        <v>7</v>
      </c>
      <c r="Z177" s="3">
        <v>62.8</v>
      </c>
      <c r="AA177" s="3" t="s">
        <v>7</v>
      </c>
      <c r="AB177" s="3">
        <v>382.3</v>
      </c>
      <c r="AC177" s="3" t="s">
        <v>7</v>
      </c>
      <c r="AD177" s="3">
        <f t="shared" si="2"/>
        <v>176</v>
      </c>
    </row>
    <row r="178" ht="15" customHeight="1" spans="1:30">
      <c r="A178" s="3" t="s">
        <v>495</v>
      </c>
      <c r="B178" s="3" t="s">
        <v>495</v>
      </c>
      <c r="C178" s="3" t="s">
        <v>223</v>
      </c>
      <c r="D178" s="3" t="s">
        <v>51</v>
      </c>
      <c r="E178" s="3" t="s">
        <v>316</v>
      </c>
      <c r="F178" s="3" t="s">
        <v>317</v>
      </c>
      <c r="G178" s="3" t="s">
        <v>318</v>
      </c>
      <c r="H178" s="3">
        <v>81.5</v>
      </c>
      <c r="I178" s="3" t="s">
        <v>7</v>
      </c>
      <c r="J178" s="3">
        <v>78</v>
      </c>
      <c r="K178" s="3" t="s">
        <v>5</v>
      </c>
      <c r="L178" s="3">
        <v>47</v>
      </c>
      <c r="M178" s="3" t="s">
        <v>7</v>
      </c>
      <c r="N178" s="3">
        <v>46</v>
      </c>
      <c r="O178" s="3" t="s">
        <v>7</v>
      </c>
      <c r="P178" s="3">
        <v>37</v>
      </c>
      <c r="Q178" s="3" t="s">
        <v>7</v>
      </c>
      <c r="R178" s="3">
        <v>74.5</v>
      </c>
      <c r="S178" s="3" t="s">
        <v>7</v>
      </c>
      <c r="T178" s="3">
        <v>17.6</v>
      </c>
      <c r="U178" s="3" t="s">
        <v>7</v>
      </c>
      <c r="V178" s="3">
        <v>34</v>
      </c>
      <c r="W178" s="3" t="s">
        <v>7</v>
      </c>
      <c r="X178" s="3">
        <v>40.5</v>
      </c>
      <c r="Y178" s="3" t="s">
        <v>7</v>
      </c>
      <c r="Z178" s="3">
        <v>64.6</v>
      </c>
      <c r="AA178" s="3" t="s">
        <v>7</v>
      </c>
      <c r="AB178" s="3">
        <v>381.6</v>
      </c>
      <c r="AC178" s="3" t="s">
        <v>7</v>
      </c>
      <c r="AD178" s="3">
        <f t="shared" si="2"/>
        <v>177</v>
      </c>
    </row>
    <row r="179" ht="15" customHeight="1" spans="1:30">
      <c r="A179" s="3" t="s">
        <v>496</v>
      </c>
      <c r="B179" s="3" t="s">
        <v>496</v>
      </c>
      <c r="C179" s="3" t="s">
        <v>228</v>
      </c>
      <c r="D179" s="3" t="s">
        <v>51</v>
      </c>
      <c r="E179" s="3" t="s">
        <v>316</v>
      </c>
      <c r="F179" s="3" t="s">
        <v>317</v>
      </c>
      <c r="G179" s="3" t="s">
        <v>318</v>
      </c>
      <c r="H179" s="3">
        <v>82</v>
      </c>
      <c r="I179" s="3" t="s">
        <v>7</v>
      </c>
      <c r="J179" s="3">
        <v>81</v>
      </c>
      <c r="K179" s="3" t="s">
        <v>5</v>
      </c>
      <c r="L179" s="3">
        <v>45</v>
      </c>
      <c r="M179" s="3" t="s">
        <v>7</v>
      </c>
      <c r="N179" s="3">
        <v>41.5</v>
      </c>
      <c r="O179" s="3" t="s">
        <v>9</v>
      </c>
      <c r="P179" s="3">
        <v>37</v>
      </c>
      <c r="Q179" s="3" t="s">
        <v>7</v>
      </c>
      <c r="R179" s="3">
        <v>71</v>
      </c>
      <c r="S179" s="3" t="s">
        <v>7</v>
      </c>
      <c r="T179" s="3">
        <v>18.4</v>
      </c>
      <c r="U179" s="3" t="s">
        <v>5</v>
      </c>
      <c r="V179" s="3">
        <v>31</v>
      </c>
      <c r="W179" s="3" t="s">
        <v>7</v>
      </c>
      <c r="X179" s="3">
        <v>40</v>
      </c>
      <c r="Y179" s="3" t="s">
        <v>7</v>
      </c>
      <c r="Z179" s="3">
        <v>63.4</v>
      </c>
      <c r="AA179" s="3" t="s">
        <v>7</v>
      </c>
      <c r="AB179" s="3">
        <v>375.9</v>
      </c>
      <c r="AC179" s="3" t="s">
        <v>7</v>
      </c>
      <c r="AD179" s="3">
        <f t="shared" si="2"/>
        <v>178</v>
      </c>
    </row>
    <row r="180" ht="15" customHeight="1" spans="1:30">
      <c r="A180" s="3" t="s">
        <v>497</v>
      </c>
      <c r="B180" s="3" t="s">
        <v>497</v>
      </c>
      <c r="C180" s="3" t="s">
        <v>233</v>
      </c>
      <c r="D180" s="3" t="s">
        <v>51</v>
      </c>
      <c r="E180" s="3" t="s">
        <v>316</v>
      </c>
      <c r="F180" s="3" t="s">
        <v>317</v>
      </c>
      <c r="G180" s="3" t="s">
        <v>318</v>
      </c>
      <c r="H180" s="3">
        <v>82.5</v>
      </c>
      <c r="I180" s="3" t="s">
        <v>7</v>
      </c>
      <c r="J180" s="3">
        <v>67</v>
      </c>
      <c r="K180" s="3" t="s">
        <v>7</v>
      </c>
      <c r="L180" s="3">
        <v>60.5</v>
      </c>
      <c r="M180" s="3" t="s">
        <v>5</v>
      </c>
      <c r="N180" s="3">
        <v>46</v>
      </c>
      <c r="O180" s="3" t="s">
        <v>7</v>
      </c>
      <c r="P180" s="3">
        <v>35</v>
      </c>
      <c r="Q180" s="3" t="s">
        <v>7</v>
      </c>
      <c r="R180" s="3">
        <v>64.5</v>
      </c>
      <c r="S180" s="3" t="s">
        <v>7</v>
      </c>
      <c r="T180" s="3">
        <v>20.3</v>
      </c>
      <c r="U180" s="3" t="s">
        <v>5</v>
      </c>
      <c r="V180" s="3">
        <v>26</v>
      </c>
      <c r="W180" s="3" t="s">
        <v>7</v>
      </c>
      <c r="X180" s="3">
        <v>38.5</v>
      </c>
      <c r="Y180" s="3" t="s">
        <v>7</v>
      </c>
      <c r="Z180" s="3">
        <v>80.8</v>
      </c>
      <c r="AA180" s="3" t="s">
        <v>5</v>
      </c>
      <c r="AB180" s="3">
        <v>375.8</v>
      </c>
      <c r="AC180" s="3" t="s">
        <v>7</v>
      </c>
      <c r="AD180" s="3">
        <f t="shared" si="2"/>
        <v>179</v>
      </c>
    </row>
    <row r="181" ht="15" customHeight="1" spans="1:30">
      <c r="A181" s="3" t="s">
        <v>498</v>
      </c>
      <c r="B181" s="3" t="s">
        <v>498</v>
      </c>
      <c r="C181" s="3" t="s">
        <v>236</v>
      </c>
      <c r="D181" s="3" t="s">
        <v>55</v>
      </c>
      <c r="E181" s="3" t="s">
        <v>316</v>
      </c>
      <c r="F181" s="3" t="s">
        <v>317</v>
      </c>
      <c r="G181" s="3" t="s">
        <v>318</v>
      </c>
      <c r="H181" s="3">
        <v>79</v>
      </c>
      <c r="I181" s="3" t="s">
        <v>7</v>
      </c>
      <c r="J181" s="3">
        <v>68</v>
      </c>
      <c r="K181" s="3" t="s">
        <v>7</v>
      </c>
      <c r="L181" s="3">
        <v>59.5</v>
      </c>
      <c r="M181" s="3" t="s">
        <v>5</v>
      </c>
      <c r="N181" s="3">
        <v>43</v>
      </c>
      <c r="O181" s="3" t="s">
        <v>9</v>
      </c>
      <c r="P181" s="3">
        <v>36.5</v>
      </c>
      <c r="Q181" s="3" t="s">
        <v>7</v>
      </c>
      <c r="R181" s="3">
        <v>67.5</v>
      </c>
      <c r="S181" s="3" t="s">
        <v>7</v>
      </c>
      <c r="T181" s="3">
        <v>19.2</v>
      </c>
      <c r="U181" s="3" t="s">
        <v>5</v>
      </c>
      <c r="V181" s="3">
        <v>29</v>
      </c>
      <c r="W181" s="3" t="s">
        <v>7</v>
      </c>
      <c r="X181" s="3">
        <v>38.5</v>
      </c>
      <c r="Y181" s="3" t="s">
        <v>7</v>
      </c>
      <c r="Z181" s="3">
        <v>78.7</v>
      </c>
      <c r="AA181" s="3" t="s">
        <v>5</v>
      </c>
      <c r="AB181" s="3">
        <v>372.7</v>
      </c>
      <c r="AC181" s="3" t="s">
        <v>7</v>
      </c>
      <c r="AD181" s="3">
        <f t="shared" si="2"/>
        <v>180</v>
      </c>
    </row>
    <row r="182" ht="15" customHeight="1" spans="1:30">
      <c r="A182" s="3" t="s">
        <v>499</v>
      </c>
      <c r="B182" s="3" t="s">
        <v>499</v>
      </c>
      <c r="C182" s="3" t="s">
        <v>245</v>
      </c>
      <c r="D182" s="3" t="s">
        <v>54</v>
      </c>
      <c r="E182" s="3" t="s">
        <v>316</v>
      </c>
      <c r="F182" s="3" t="s">
        <v>317</v>
      </c>
      <c r="G182" s="3" t="s">
        <v>318</v>
      </c>
      <c r="H182" s="3">
        <v>83</v>
      </c>
      <c r="I182" s="3" t="s">
        <v>7</v>
      </c>
      <c r="J182" s="3">
        <v>66</v>
      </c>
      <c r="K182" s="3" t="s">
        <v>7</v>
      </c>
      <c r="L182" s="3">
        <v>50</v>
      </c>
      <c r="M182" s="3" t="s">
        <v>5</v>
      </c>
      <c r="N182" s="3">
        <v>54</v>
      </c>
      <c r="O182" s="3" t="s">
        <v>5</v>
      </c>
      <c r="P182" s="3">
        <v>36</v>
      </c>
      <c r="Q182" s="3" t="s">
        <v>7</v>
      </c>
      <c r="R182" s="3">
        <v>64.5</v>
      </c>
      <c r="S182" s="3" t="s">
        <v>7</v>
      </c>
      <c r="T182" s="3">
        <v>18.6</v>
      </c>
      <c r="U182" s="3" t="s">
        <v>5</v>
      </c>
      <c r="V182" s="3">
        <v>26</v>
      </c>
      <c r="W182" s="3" t="s">
        <v>7</v>
      </c>
      <c r="X182" s="3">
        <v>38.5</v>
      </c>
      <c r="Y182" s="3" t="s">
        <v>7</v>
      </c>
      <c r="Z182" s="3">
        <v>68.6</v>
      </c>
      <c r="AA182" s="3" t="s">
        <v>5</v>
      </c>
      <c r="AB182" s="3">
        <v>372.1</v>
      </c>
      <c r="AC182" s="3" t="s">
        <v>7</v>
      </c>
      <c r="AD182" s="3">
        <f t="shared" si="2"/>
        <v>181</v>
      </c>
    </row>
    <row r="183" ht="15" customHeight="1" spans="1:30">
      <c r="A183" s="3" t="s">
        <v>500</v>
      </c>
      <c r="B183" s="3" t="s">
        <v>500</v>
      </c>
      <c r="C183" s="3" t="s">
        <v>241</v>
      </c>
      <c r="D183" s="3" t="s">
        <v>55</v>
      </c>
      <c r="E183" s="3" t="s">
        <v>316</v>
      </c>
      <c r="F183" s="3" t="s">
        <v>317</v>
      </c>
      <c r="G183" s="3" t="s">
        <v>318</v>
      </c>
      <c r="H183" s="3">
        <v>83.5</v>
      </c>
      <c r="I183" s="3" t="s">
        <v>7</v>
      </c>
      <c r="J183" s="3">
        <v>60</v>
      </c>
      <c r="K183" s="3" t="s">
        <v>7</v>
      </c>
      <c r="L183" s="3">
        <v>57</v>
      </c>
      <c r="M183" s="3" t="s">
        <v>5</v>
      </c>
      <c r="N183" s="3">
        <v>55.5</v>
      </c>
      <c r="O183" s="3" t="s">
        <v>5</v>
      </c>
      <c r="P183" s="3">
        <v>37</v>
      </c>
      <c r="Q183" s="3" t="s">
        <v>7</v>
      </c>
      <c r="R183" s="3">
        <v>54.5</v>
      </c>
      <c r="S183" s="3" t="s">
        <v>9</v>
      </c>
      <c r="T183" s="3">
        <v>22.9</v>
      </c>
      <c r="U183" s="3" t="s">
        <v>3</v>
      </c>
      <c r="V183" s="3">
        <v>25</v>
      </c>
      <c r="W183" s="3" t="s">
        <v>7</v>
      </c>
      <c r="X183" s="3">
        <v>29.5</v>
      </c>
      <c r="Y183" s="3" t="s">
        <v>7</v>
      </c>
      <c r="Z183" s="3">
        <v>79.9</v>
      </c>
      <c r="AA183" s="3" t="s">
        <v>5</v>
      </c>
      <c r="AB183" s="3">
        <v>370.4</v>
      </c>
      <c r="AC183" s="3" t="s">
        <v>7</v>
      </c>
      <c r="AD183" s="3">
        <f t="shared" si="2"/>
        <v>182</v>
      </c>
    </row>
    <row r="184" ht="15" customHeight="1" spans="1:30">
      <c r="A184" s="3" t="s">
        <v>501</v>
      </c>
      <c r="B184" s="3" t="s">
        <v>501</v>
      </c>
      <c r="C184" s="3" t="s">
        <v>237</v>
      </c>
      <c r="D184" s="3" t="s">
        <v>56</v>
      </c>
      <c r="E184" s="3" t="s">
        <v>316</v>
      </c>
      <c r="F184" s="3" t="s">
        <v>317</v>
      </c>
      <c r="G184" s="3" t="s">
        <v>318</v>
      </c>
      <c r="H184" s="3">
        <v>75.5</v>
      </c>
      <c r="I184" s="3" t="s">
        <v>7</v>
      </c>
      <c r="J184" s="3">
        <v>74</v>
      </c>
      <c r="K184" s="3" t="s">
        <v>7</v>
      </c>
      <c r="L184" s="3">
        <v>40</v>
      </c>
      <c r="M184" s="3" t="s">
        <v>7</v>
      </c>
      <c r="N184" s="3">
        <v>51.5</v>
      </c>
      <c r="O184" s="3" t="s">
        <v>7</v>
      </c>
      <c r="P184" s="3">
        <v>34</v>
      </c>
      <c r="Q184" s="3" t="s">
        <v>7</v>
      </c>
      <c r="R184" s="3">
        <v>79</v>
      </c>
      <c r="S184" s="3" t="s">
        <v>7</v>
      </c>
      <c r="T184" s="3">
        <v>16.3</v>
      </c>
      <c r="U184" s="3" t="s">
        <v>7</v>
      </c>
      <c r="V184" s="3">
        <v>32.5</v>
      </c>
      <c r="W184" s="3" t="s">
        <v>7</v>
      </c>
      <c r="X184" s="3">
        <v>46.5</v>
      </c>
      <c r="Y184" s="3" t="s">
        <v>5</v>
      </c>
      <c r="Z184" s="3">
        <v>56.3</v>
      </c>
      <c r="AA184" s="3" t="s">
        <v>7</v>
      </c>
      <c r="AB184" s="3">
        <v>370.3</v>
      </c>
      <c r="AC184" s="3" t="s">
        <v>7</v>
      </c>
      <c r="AD184" s="3">
        <f t="shared" si="2"/>
        <v>183</v>
      </c>
    </row>
    <row r="185" ht="15" customHeight="1" spans="1:30">
      <c r="A185" s="3" t="s">
        <v>502</v>
      </c>
      <c r="B185" s="3" t="s">
        <v>502</v>
      </c>
      <c r="C185" s="3" t="s">
        <v>250</v>
      </c>
      <c r="D185" s="3" t="s">
        <v>54</v>
      </c>
      <c r="E185" s="3" t="s">
        <v>316</v>
      </c>
      <c r="F185" s="3" t="s">
        <v>317</v>
      </c>
      <c r="G185" s="3" t="s">
        <v>318</v>
      </c>
      <c r="H185" s="3">
        <v>83</v>
      </c>
      <c r="I185" s="3" t="s">
        <v>7</v>
      </c>
      <c r="J185" s="3">
        <v>72</v>
      </c>
      <c r="K185" s="3" t="s">
        <v>7</v>
      </c>
      <c r="L185" s="3">
        <v>42</v>
      </c>
      <c r="M185" s="3" t="s">
        <v>7</v>
      </c>
      <c r="N185" s="3">
        <v>50</v>
      </c>
      <c r="O185" s="3" t="s">
        <v>7</v>
      </c>
      <c r="P185" s="3">
        <v>39</v>
      </c>
      <c r="Q185" s="3" t="s">
        <v>5</v>
      </c>
      <c r="R185" s="3">
        <v>63.5</v>
      </c>
      <c r="S185" s="3" t="s">
        <v>7</v>
      </c>
      <c r="T185" s="3">
        <v>20.3</v>
      </c>
      <c r="U185" s="3" t="s">
        <v>5</v>
      </c>
      <c r="V185" s="3">
        <v>27</v>
      </c>
      <c r="W185" s="3" t="s">
        <v>7</v>
      </c>
      <c r="X185" s="3">
        <v>36.5</v>
      </c>
      <c r="Y185" s="3" t="s">
        <v>7</v>
      </c>
      <c r="Z185" s="3">
        <v>62.3</v>
      </c>
      <c r="AA185" s="3" t="s">
        <v>7</v>
      </c>
      <c r="AB185" s="3">
        <v>369.8</v>
      </c>
      <c r="AC185" s="3" t="s">
        <v>7</v>
      </c>
      <c r="AD185" s="3">
        <f t="shared" si="2"/>
        <v>184</v>
      </c>
    </row>
    <row r="186" ht="15" customHeight="1" spans="1:30">
      <c r="A186" s="3" t="s">
        <v>503</v>
      </c>
      <c r="B186" s="3" t="s">
        <v>503</v>
      </c>
      <c r="C186" s="3" t="s">
        <v>246</v>
      </c>
      <c r="D186" s="3" t="s">
        <v>55</v>
      </c>
      <c r="E186" s="3" t="s">
        <v>316</v>
      </c>
      <c r="F186" s="3" t="s">
        <v>317</v>
      </c>
      <c r="G186" s="3" t="s">
        <v>318</v>
      </c>
      <c r="H186" s="3">
        <v>75.5</v>
      </c>
      <c r="I186" s="3" t="s">
        <v>7</v>
      </c>
      <c r="J186" s="3">
        <v>60</v>
      </c>
      <c r="K186" s="3" t="s">
        <v>7</v>
      </c>
      <c r="L186" s="3">
        <v>33.5</v>
      </c>
      <c r="M186" s="3" t="s">
        <v>7</v>
      </c>
      <c r="N186" s="3">
        <v>57.5</v>
      </c>
      <c r="O186" s="3" t="s">
        <v>5</v>
      </c>
      <c r="P186" s="3">
        <v>40.5</v>
      </c>
      <c r="Q186" s="3" t="s">
        <v>5</v>
      </c>
      <c r="R186" s="3">
        <v>88</v>
      </c>
      <c r="S186" s="3" t="s">
        <v>5</v>
      </c>
      <c r="T186" s="3">
        <v>14.1</v>
      </c>
      <c r="U186" s="3" t="s">
        <v>7</v>
      </c>
      <c r="V186" s="3">
        <v>48</v>
      </c>
      <c r="W186" s="3" t="s">
        <v>2</v>
      </c>
      <c r="X186" s="3">
        <v>40</v>
      </c>
      <c r="Y186" s="3" t="s">
        <v>7</v>
      </c>
      <c r="Z186" s="3">
        <v>47.6</v>
      </c>
      <c r="AA186" s="3" t="s">
        <v>7</v>
      </c>
      <c r="AB186" s="3">
        <v>369.1</v>
      </c>
      <c r="AC186" s="3" t="s">
        <v>7</v>
      </c>
      <c r="AD186" s="3">
        <f t="shared" si="2"/>
        <v>185</v>
      </c>
    </row>
    <row r="187" ht="15" customHeight="1" spans="1:30">
      <c r="A187" s="3" t="s">
        <v>504</v>
      </c>
      <c r="B187" s="3" t="s">
        <v>504</v>
      </c>
      <c r="C187" s="3" t="s">
        <v>238</v>
      </c>
      <c r="D187" s="3" t="s">
        <v>51</v>
      </c>
      <c r="E187" s="3" t="s">
        <v>316</v>
      </c>
      <c r="F187" s="3" t="s">
        <v>317</v>
      </c>
      <c r="G187" s="3" t="s">
        <v>318</v>
      </c>
      <c r="H187" s="3">
        <v>81.5</v>
      </c>
      <c r="I187" s="3" t="s">
        <v>7</v>
      </c>
      <c r="J187" s="3">
        <v>78</v>
      </c>
      <c r="K187" s="3" t="s">
        <v>5</v>
      </c>
      <c r="L187" s="3">
        <v>29</v>
      </c>
      <c r="M187" s="3" t="s">
        <v>7</v>
      </c>
      <c r="N187" s="3">
        <v>51.5</v>
      </c>
      <c r="O187" s="3" t="s">
        <v>7</v>
      </c>
      <c r="P187" s="3">
        <v>38</v>
      </c>
      <c r="Q187" s="3" t="s">
        <v>5</v>
      </c>
      <c r="R187" s="3">
        <v>73</v>
      </c>
      <c r="S187" s="3" t="s">
        <v>7</v>
      </c>
      <c r="T187" s="3">
        <v>17.4</v>
      </c>
      <c r="U187" s="3" t="s">
        <v>7</v>
      </c>
      <c r="V187" s="3">
        <v>24</v>
      </c>
      <c r="W187" s="3" t="s">
        <v>9</v>
      </c>
      <c r="X187" s="3">
        <v>49</v>
      </c>
      <c r="Y187" s="3" t="s">
        <v>5</v>
      </c>
      <c r="Z187" s="3">
        <v>46.4</v>
      </c>
      <c r="AA187" s="3" t="s">
        <v>7</v>
      </c>
      <c r="AB187" s="3">
        <v>368.4</v>
      </c>
      <c r="AC187" s="3" t="s">
        <v>7</v>
      </c>
      <c r="AD187" s="3">
        <f t="shared" si="2"/>
        <v>186</v>
      </c>
    </row>
    <row r="188" ht="15" customHeight="1" spans="1:30">
      <c r="A188" s="3" t="s">
        <v>505</v>
      </c>
      <c r="B188" s="3" t="s">
        <v>505</v>
      </c>
      <c r="C188" s="3" t="s">
        <v>243</v>
      </c>
      <c r="D188" s="3" t="s">
        <v>51</v>
      </c>
      <c r="E188" s="3" t="s">
        <v>316</v>
      </c>
      <c r="F188" s="3" t="s">
        <v>317</v>
      </c>
      <c r="G188" s="3" t="s">
        <v>318</v>
      </c>
      <c r="H188" s="3">
        <v>86</v>
      </c>
      <c r="I188" s="3" t="s">
        <v>5</v>
      </c>
      <c r="J188" s="3">
        <v>72</v>
      </c>
      <c r="K188" s="3" t="s">
        <v>7</v>
      </c>
      <c r="L188" s="3">
        <v>44</v>
      </c>
      <c r="M188" s="3" t="s">
        <v>7</v>
      </c>
      <c r="N188" s="3">
        <v>47</v>
      </c>
      <c r="O188" s="3" t="s">
        <v>7</v>
      </c>
      <c r="P188" s="3">
        <v>36.5</v>
      </c>
      <c r="Q188" s="3" t="s">
        <v>7</v>
      </c>
      <c r="R188" s="3">
        <v>64.5</v>
      </c>
      <c r="S188" s="3" t="s">
        <v>7</v>
      </c>
      <c r="T188" s="3">
        <v>18</v>
      </c>
      <c r="U188" s="3" t="s">
        <v>7</v>
      </c>
      <c r="V188" s="3">
        <v>23.5</v>
      </c>
      <c r="W188" s="3" t="s">
        <v>9</v>
      </c>
      <c r="X188" s="3">
        <v>41</v>
      </c>
      <c r="Y188" s="3" t="s">
        <v>7</v>
      </c>
      <c r="Z188" s="3">
        <v>62</v>
      </c>
      <c r="AA188" s="3" t="s">
        <v>7</v>
      </c>
      <c r="AB188" s="3">
        <v>368</v>
      </c>
      <c r="AC188" s="3" t="s">
        <v>7</v>
      </c>
      <c r="AD188" s="3">
        <f t="shared" si="2"/>
        <v>187</v>
      </c>
    </row>
    <row r="189" ht="15" customHeight="1" spans="1:30">
      <c r="A189" s="3" t="s">
        <v>506</v>
      </c>
      <c r="B189" s="3" t="s">
        <v>506</v>
      </c>
      <c r="C189" s="3" t="s">
        <v>251</v>
      </c>
      <c r="D189" s="3" t="s">
        <v>55</v>
      </c>
      <c r="E189" s="3" t="s">
        <v>316</v>
      </c>
      <c r="F189" s="3" t="s">
        <v>317</v>
      </c>
      <c r="G189" s="3" t="s">
        <v>318</v>
      </c>
      <c r="H189" s="3">
        <v>88</v>
      </c>
      <c r="I189" s="3" t="s">
        <v>5</v>
      </c>
      <c r="J189" s="3">
        <v>74</v>
      </c>
      <c r="K189" s="3" t="s">
        <v>7</v>
      </c>
      <c r="L189" s="3">
        <v>28</v>
      </c>
      <c r="M189" s="3" t="s">
        <v>7</v>
      </c>
      <c r="N189" s="3">
        <v>54.5</v>
      </c>
      <c r="O189" s="3" t="s">
        <v>5</v>
      </c>
      <c r="P189" s="3">
        <v>39</v>
      </c>
      <c r="Q189" s="3" t="s">
        <v>5</v>
      </c>
      <c r="R189" s="3">
        <v>68.5</v>
      </c>
      <c r="S189" s="3" t="s">
        <v>7</v>
      </c>
      <c r="T189" s="3">
        <v>12.8</v>
      </c>
      <c r="U189" s="3" t="s">
        <v>7</v>
      </c>
      <c r="V189" s="3">
        <v>26.5</v>
      </c>
      <c r="W189" s="3" t="s">
        <v>7</v>
      </c>
      <c r="X189" s="3">
        <v>42</v>
      </c>
      <c r="Y189" s="3" t="s">
        <v>7</v>
      </c>
      <c r="Z189" s="3">
        <v>40.8</v>
      </c>
      <c r="AA189" s="3" t="s">
        <v>7</v>
      </c>
      <c r="AB189" s="3">
        <v>364.8</v>
      </c>
      <c r="AC189" s="3" t="s">
        <v>7</v>
      </c>
      <c r="AD189" s="3">
        <f t="shared" si="2"/>
        <v>188</v>
      </c>
    </row>
    <row r="190" ht="15" customHeight="1" spans="1:30">
      <c r="A190" s="3" t="s">
        <v>507</v>
      </c>
      <c r="B190" s="3" t="s">
        <v>507</v>
      </c>
      <c r="C190" s="3" t="s">
        <v>239</v>
      </c>
      <c r="D190" s="3" t="s">
        <v>53</v>
      </c>
      <c r="E190" s="3" t="s">
        <v>316</v>
      </c>
      <c r="F190" s="3" t="s">
        <v>317</v>
      </c>
      <c r="G190" s="3" t="s">
        <v>318</v>
      </c>
      <c r="H190" s="3">
        <v>84.5</v>
      </c>
      <c r="I190" s="3" t="s">
        <v>5</v>
      </c>
      <c r="J190" s="3">
        <v>64</v>
      </c>
      <c r="K190" s="3" t="s">
        <v>7</v>
      </c>
      <c r="L190" s="3">
        <v>36.5</v>
      </c>
      <c r="M190" s="3" t="s">
        <v>7</v>
      </c>
      <c r="N190" s="3">
        <v>48.5</v>
      </c>
      <c r="O190" s="3" t="s">
        <v>7</v>
      </c>
      <c r="P190" s="3">
        <v>41</v>
      </c>
      <c r="Q190" s="3" t="s">
        <v>5</v>
      </c>
      <c r="R190" s="3">
        <v>71</v>
      </c>
      <c r="S190" s="3" t="s">
        <v>7</v>
      </c>
      <c r="T190" s="3">
        <v>12.6</v>
      </c>
      <c r="U190" s="3" t="s">
        <v>7</v>
      </c>
      <c r="V190" s="3">
        <v>36</v>
      </c>
      <c r="W190" s="3" t="s">
        <v>7</v>
      </c>
      <c r="X190" s="3">
        <v>35</v>
      </c>
      <c r="Y190" s="3" t="s">
        <v>7</v>
      </c>
      <c r="Z190" s="3">
        <v>49.1</v>
      </c>
      <c r="AA190" s="3" t="s">
        <v>7</v>
      </c>
      <c r="AB190" s="3">
        <v>358.1</v>
      </c>
      <c r="AC190" s="3" t="s">
        <v>7</v>
      </c>
      <c r="AD190" s="3">
        <f t="shared" si="2"/>
        <v>189</v>
      </c>
    </row>
    <row r="191" ht="15" customHeight="1" spans="1:30">
      <c r="A191" s="3" t="s">
        <v>508</v>
      </c>
      <c r="B191" s="3" t="s">
        <v>508</v>
      </c>
      <c r="C191" s="3" t="s">
        <v>255</v>
      </c>
      <c r="D191" s="3" t="s">
        <v>54</v>
      </c>
      <c r="E191" s="3" t="s">
        <v>316</v>
      </c>
      <c r="F191" s="3" t="s">
        <v>317</v>
      </c>
      <c r="G191" s="3" t="s">
        <v>318</v>
      </c>
      <c r="H191" s="3">
        <v>83.5</v>
      </c>
      <c r="I191" s="3" t="s">
        <v>7</v>
      </c>
      <c r="J191" s="3">
        <v>75</v>
      </c>
      <c r="K191" s="3" t="s">
        <v>5</v>
      </c>
      <c r="L191" s="3">
        <v>26</v>
      </c>
      <c r="M191" s="3" t="s">
        <v>9</v>
      </c>
      <c r="N191" s="3">
        <v>44</v>
      </c>
      <c r="O191" s="3" t="s">
        <v>9</v>
      </c>
      <c r="P191" s="3">
        <v>36.5</v>
      </c>
      <c r="Q191" s="3" t="s">
        <v>7</v>
      </c>
      <c r="R191" s="3">
        <v>77.5</v>
      </c>
      <c r="S191" s="3" t="s">
        <v>7</v>
      </c>
      <c r="T191" s="3">
        <v>15.2</v>
      </c>
      <c r="U191" s="3" t="s">
        <v>7</v>
      </c>
      <c r="V191" s="3">
        <v>32</v>
      </c>
      <c r="W191" s="3" t="s">
        <v>7</v>
      </c>
      <c r="X191" s="3">
        <v>45.5</v>
      </c>
      <c r="Y191" s="3" t="s">
        <v>7</v>
      </c>
      <c r="Z191" s="3">
        <v>41.2</v>
      </c>
      <c r="AA191" s="3" t="s">
        <v>7</v>
      </c>
      <c r="AB191" s="3">
        <v>357.7</v>
      </c>
      <c r="AC191" s="3" t="s">
        <v>7</v>
      </c>
      <c r="AD191" s="3">
        <f t="shared" si="2"/>
        <v>190</v>
      </c>
    </row>
    <row r="192" ht="15" customHeight="1" spans="1:30">
      <c r="A192" s="3" t="s">
        <v>509</v>
      </c>
      <c r="B192" s="3" t="s">
        <v>509</v>
      </c>
      <c r="C192" s="3" t="s">
        <v>248</v>
      </c>
      <c r="D192" s="3" t="s">
        <v>51</v>
      </c>
      <c r="E192" s="3" t="s">
        <v>316</v>
      </c>
      <c r="F192" s="3" t="s">
        <v>317</v>
      </c>
      <c r="G192" s="3" t="s">
        <v>318</v>
      </c>
      <c r="H192" s="3">
        <v>82.5</v>
      </c>
      <c r="I192" s="3" t="s">
        <v>7</v>
      </c>
      <c r="J192" s="3">
        <v>85</v>
      </c>
      <c r="K192" s="3" t="s">
        <v>3</v>
      </c>
      <c r="L192" s="3">
        <v>23</v>
      </c>
      <c r="M192" s="3" t="s">
        <v>9</v>
      </c>
      <c r="N192" s="3">
        <v>51.5</v>
      </c>
      <c r="O192" s="3" t="s">
        <v>7</v>
      </c>
      <c r="P192" s="3">
        <v>35.5</v>
      </c>
      <c r="Q192" s="3" t="s">
        <v>7</v>
      </c>
      <c r="R192" s="3">
        <v>65</v>
      </c>
      <c r="S192" s="3" t="s">
        <v>7</v>
      </c>
      <c r="T192" s="3">
        <v>12.3</v>
      </c>
      <c r="U192" s="3" t="s">
        <v>9</v>
      </c>
      <c r="V192" s="3">
        <v>27</v>
      </c>
      <c r="W192" s="3" t="s">
        <v>7</v>
      </c>
      <c r="X192" s="3">
        <v>38</v>
      </c>
      <c r="Y192" s="3" t="s">
        <v>7</v>
      </c>
      <c r="Z192" s="3">
        <v>35.3</v>
      </c>
      <c r="AA192" s="3" t="s">
        <v>9</v>
      </c>
      <c r="AB192" s="3">
        <v>354.8</v>
      </c>
      <c r="AC192" s="3" t="s">
        <v>7</v>
      </c>
      <c r="AD192" s="3">
        <f t="shared" si="2"/>
        <v>191</v>
      </c>
    </row>
    <row r="193" ht="15" customHeight="1" spans="1:30">
      <c r="A193" s="3" t="s">
        <v>510</v>
      </c>
      <c r="B193" s="3" t="s">
        <v>510</v>
      </c>
      <c r="C193" s="3" t="s">
        <v>253</v>
      </c>
      <c r="D193" s="3" t="s">
        <v>51</v>
      </c>
      <c r="E193" s="3" t="s">
        <v>316</v>
      </c>
      <c r="F193" s="3" t="s">
        <v>317</v>
      </c>
      <c r="G193" s="3" t="s">
        <v>318</v>
      </c>
      <c r="H193" s="3">
        <v>77</v>
      </c>
      <c r="I193" s="3" t="s">
        <v>7</v>
      </c>
      <c r="J193" s="3">
        <v>77</v>
      </c>
      <c r="K193" s="3" t="s">
        <v>5</v>
      </c>
      <c r="L193" s="3">
        <v>36</v>
      </c>
      <c r="M193" s="3" t="s">
        <v>7</v>
      </c>
      <c r="N193" s="3">
        <v>46.5</v>
      </c>
      <c r="O193" s="3" t="s">
        <v>7</v>
      </c>
      <c r="P193" s="3">
        <v>36</v>
      </c>
      <c r="Q193" s="3" t="s">
        <v>7</v>
      </c>
      <c r="R193" s="3">
        <v>66</v>
      </c>
      <c r="S193" s="3" t="s">
        <v>7</v>
      </c>
      <c r="T193" s="3">
        <v>14.4</v>
      </c>
      <c r="U193" s="3" t="s">
        <v>7</v>
      </c>
      <c r="V193" s="3">
        <v>25</v>
      </c>
      <c r="W193" s="3" t="s">
        <v>7</v>
      </c>
      <c r="X193" s="3">
        <v>41</v>
      </c>
      <c r="Y193" s="3" t="s">
        <v>7</v>
      </c>
      <c r="Z193" s="3">
        <v>50.4</v>
      </c>
      <c r="AA193" s="3" t="s">
        <v>7</v>
      </c>
      <c r="AB193" s="3">
        <v>352.9</v>
      </c>
      <c r="AC193" s="3" t="s">
        <v>7</v>
      </c>
      <c r="AD193" s="3">
        <f t="shared" si="2"/>
        <v>192</v>
      </c>
    </row>
    <row r="194" ht="15" customHeight="1" spans="1:30">
      <c r="A194" s="3" t="s">
        <v>511</v>
      </c>
      <c r="B194" s="3" t="s">
        <v>511</v>
      </c>
      <c r="C194" s="3" t="s">
        <v>260</v>
      </c>
      <c r="D194" s="3" t="s">
        <v>54</v>
      </c>
      <c r="E194" s="3" t="s">
        <v>316</v>
      </c>
      <c r="F194" s="3" t="s">
        <v>317</v>
      </c>
      <c r="G194" s="3" t="s">
        <v>318</v>
      </c>
      <c r="H194" s="3">
        <v>83.5</v>
      </c>
      <c r="I194" s="3" t="s">
        <v>7</v>
      </c>
      <c r="J194" s="3">
        <v>76</v>
      </c>
      <c r="K194" s="3" t="s">
        <v>5</v>
      </c>
      <c r="L194" s="3">
        <v>29</v>
      </c>
      <c r="M194" s="3" t="s">
        <v>7</v>
      </c>
      <c r="N194" s="3">
        <v>48.5</v>
      </c>
      <c r="O194" s="3" t="s">
        <v>7</v>
      </c>
      <c r="P194" s="3">
        <v>40.5</v>
      </c>
      <c r="Q194" s="3" t="s">
        <v>5</v>
      </c>
      <c r="R194" s="3">
        <v>59.5</v>
      </c>
      <c r="S194" s="3" t="s">
        <v>7</v>
      </c>
      <c r="T194" s="3">
        <v>15.7</v>
      </c>
      <c r="U194" s="3" t="s">
        <v>7</v>
      </c>
      <c r="V194" s="3">
        <v>25</v>
      </c>
      <c r="W194" s="3" t="s">
        <v>7</v>
      </c>
      <c r="X194" s="3">
        <v>34.5</v>
      </c>
      <c r="Y194" s="3" t="s">
        <v>7</v>
      </c>
      <c r="Z194" s="3">
        <v>44.7</v>
      </c>
      <c r="AA194" s="3" t="s">
        <v>7</v>
      </c>
      <c r="AB194" s="3">
        <v>352.7</v>
      </c>
      <c r="AC194" s="3" t="s">
        <v>7</v>
      </c>
      <c r="AD194" s="3">
        <f t="shared" si="2"/>
        <v>193</v>
      </c>
    </row>
    <row r="195" ht="15" customHeight="1" spans="1:30">
      <c r="A195" s="3" t="s">
        <v>512</v>
      </c>
      <c r="B195" s="3" t="s">
        <v>512</v>
      </c>
      <c r="C195" s="3" t="s">
        <v>244</v>
      </c>
      <c r="D195" s="3" t="s">
        <v>53</v>
      </c>
      <c r="E195" s="3" t="s">
        <v>316</v>
      </c>
      <c r="F195" s="3" t="s">
        <v>317</v>
      </c>
      <c r="G195" s="3" t="s">
        <v>318</v>
      </c>
      <c r="H195" s="3">
        <v>86</v>
      </c>
      <c r="I195" s="3" t="s">
        <v>5</v>
      </c>
      <c r="J195" s="3">
        <v>69</v>
      </c>
      <c r="K195" s="3" t="s">
        <v>7</v>
      </c>
      <c r="L195" s="3">
        <v>44</v>
      </c>
      <c r="M195" s="3" t="s">
        <v>7</v>
      </c>
      <c r="N195" s="3">
        <v>46</v>
      </c>
      <c r="O195" s="3" t="s">
        <v>7</v>
      </c>
      <c r="P195" s="3">
        <v>34.5</v>
      </c>
      <c r="Q195" s="3" t="s">
        <v>7</v>
      </c>
      <c r="R195" s="3">
        <v>56.5</v>
      </c>
      <c r="S195" s="3" t="s">
        <v>7</v>
      </c>
      <c r="T195" s="3">
        <v>16</v>
      </c>
      <c r="U195" s="3" t="s">
        <v>7</v>
      </c>
      <c r="V195" s="3">
        <v>22.5</v>
      </c>
      <c r="W195" s="3" t="s">
        <v>9</v>
      </c>
      <c r="X195" s="3">
        <v>34</v>
      </c>
      <c r="Y195" s="3" t="s">
        <v>7</v>
      </c>
      <c r="Z195" s="3">
        <v>60</v>
      </c>
      <c r="AA195" s="3" t="s">
        <v>7</v>
      </c>
      <c r="AB195" s="3">
        <v>352</v>
      </c>
      <c r="AC195" s="3" t="s">
        <v>7</v>
      </c>
      <c r="AD195" s="3">
        <f t="shared" ref="AD195:AD228" si="3">RANK(AB195,$AB$2:$AB$228,0)</f>
        <v>194</v>
      </c>
    </row>
    <row r="196" ht="15" customHeight="1" spans="1:30">
      <c r="A196" s="3" t="s">
        <v>513</v>
      </c>
      <c r="B196" s="3" t="s">
        <v>513</v>
      </c>
      <c r="C196" s="3" t="s">
        <v>256</v>
      </c>
      <c r="D196" s="3" t="s">
        <v>55</v>
      </c>
      <c r="E196" s="3" t="s">
        <v>316</v>
      </c>
      <c r="F196" s="3" t="s">
        <v>317</v>
      </c>
      <c r="G196" s="3" t="s">
        <v>318</v>
      </c>
      <c r="H196" s="3">
        <v>67</v>
      </c>
      <c r="I196" s="3" t="s">
        <v>9</v>
      </c>
      <c r="J196" s="3">
        <v>78</v>
      </c>
      <c r="K196" s="3" t="s">
        <v>5</v>
      </c>
      <c r="L196" s="3">
        <v>27.5</v>
      </c>
      <c r="M196" s="3" t="s">
        <v>7</v>
      </c>
      <c r="N196" s="3">
        <v>51.5</v>
      </c>
      <c r="O196" s="3" t="s">
        <v>7</v>
      </c>
      <c r="P196" s="3">
        <v>33.5</v>
      </c>
      <c r="Q196" s="3" t="s">
        <v>7</v>
      </c>
      <c r="R196" s="3">
        <v>79.5</v>
      </c>
      <c r="S196" s="3" t="s">
        <v>7</v>
      </c>
      <c r="T196" s="3">
        <v>11.3</v>
      </c>
      <c r="U196" s="3" t="s">
        <v>9</v>
      </c>
      <c r="V196" s="3">
        <v>40</v>
      </c>
      <c r="W196" s="3" t="s">
        <v>5</v>
      </c>
      <c r="X196" s="3">
        <v>39.5</v>
      </c>
      <c r="Y196" s="3" t="s">
        <v>7</v>
      </c>
      <c r="Z196" s="3">
        <v>38.8</v>
      </c>
      <c r="AA196" s="3" t="s">
        <v>7</v>
      </c>
      <c r="AB196" s="3">
        <v>348.3</v>
      </c>
      <c r="AC196" s="3" t="s">
        <v>7</v>
      </c>
      <c r="AD196" s="3">
        <f t="shared" si="3"/>
        <v>195</v>
      </c>
    </row>
    <row r="197" ht="15" customHeight="1" spans="1:30">
      <c r="A197" s="3" t="s">
        <v>514</v>
      </c>
      <c r="B197" s="3" t="s">
        <v>514</v>
      </c>
      <c r="C197" s="3" t="s">
        <v>249</v>
      </c>
      <c r="D197" s="3" t="s">
        <v>53</v>
      </c>
      <c r="E197" s="3" t="s">
        <v>316</v>
      </c>
      <c r="F197" s="3" t="s">
        <v>317</v>
      </c>
      <c r="G197" s="3" t="s">
        <v>318</v>
      </c>
      <c r="H197" s="3">
        <v>79</v>
      </c>
      <c r="I197" s="3" t="s">
        <v>7</v>
      </c>
      <c r="J197" s="3">
        <v>85</v>
      </c>
      <c r="K197" s="3" t="s">
        <v>3</v>
      </c>
      <c r="L197" s="3">
        <v>17.5</v>
      </c>
      <c r="M197" s="3" t="s">
        <v>9</v>
      </c>
      <c r="N197" s="3">
        <v>55</v>
      </c>
      <c r="O197" s="3" t="s">
        <v>5</v>
      </c>
      <c r="P197" s="3">
        <v>34.5</v>
      </c>
      <c r="Q197" s="3" t="s">
        <v>7</v>
      </c>
      <c r="R197" s="3">
        <v>69</v>
      </c>
      <c r="S197" s="3" t="s">
        <v>7</v>
      </c>
      <c r="T197" s="3">
        <v>7.3</v>
      </c>
      <c r="U197" s="3" t="s">
        <v>9</v>
      </c>
      <c r="V197" s="3">
        <v>26</v>
      </c>
      <c r="W197" s="3" t="s">
        <v>7</v>
      </c>
      <c r="X197" s="3">
        <v>43</v>
      </c>
      <c r="Y197" s="3" t="s">
        <v>7</v>
      </c>
      <c r="Z197" s="3">
        <v>24.8</v>
      </c>
      <c r="AA197" s="3" t="s">
        <v>9</v>
      </c>
      <c r="AB197" s="3">
        <v>347.3</v>
      </c>
      <c r="AC197" s="3" t="s">
        <v>7</v>
      </c>
      <c r="AD197" s="3">
        <f t="shared" si="3"/>
        <v>196</v>
      </c>
    </row>
    <row r="198" ht="15" customHeight="1" spans="1:30">
      <c r="A198" s="3" t="s">
        <v>515</v>
      </c>
      <c r="B198" s="3" t="s">
        <v>515</v>
      </c>
      <c r="C198" s="3" t="s">
        <v>242</v>
      </c>
      <c r="D198" s="3" t="s">
        <v>56</v>
      </c>
      <c r="E198" s="3" t="s">
        <v>316</v>
      </c>
      <c r="F198" s="3" t="s">
        <v>317</v>
      </c>
      <c r="G198" s="3" t="s">
        <v>318</v>
      </c>
      <c r="H198" s="3">
        <v>62</v>
      </c>
      <c r="I198" s="3" t="s">
        <v>9</v>
      </c>
      <c r="J198" s="3">
        <v>75</v>
      </c>
      <c r="K198" s="3" t="s">
        <v>5</v>
      </c>
      <c r="L198" s="3">
        <v>42</v>
      </c>
      <c r="M198" s="3" t="s">
        <v>7</v>
      </c>
      <c r="N198" s="3">
        <v>46</v>
      </c>
      <c r="O198" s="3" t="s">
        <v>7</v>
      </c>
      <c r="P198" s="3">
        <v>34</v>
      </c>
      <c r="Q198" s="3" t="s">
        <v>7</v>
      </c>
      <c r="R198" s="3">
        <v>66.5</v>
      </c>
      <c r="S198" s="3" t="s">
        <v>7</v>
      </c>
      <c r="T198" s="3">
        <v>17.5</v>
      </c>
      <c r="U198" s="3" t="s">
        <v>7</v>
      </c>
      <c r="V198" s="3">
        <v>31</v>
      </c>
      <c r="W198" s="3" t="s">
        <v>7</v>
      </c>
      <c r="X198" s="3">
        <v>35.5</v>
      </c>
      <c r="Y198" s="3" t="s">
        <v>7</v>
      </c>
      <c r="Z198" s="3">
        <v>59.5</v>
      </c>
      <c r="AA198" s="3" t="s">
        <v>7</v>
      </c>
      <c r="AB198" s="3">
        <v>343</v>
      </c>
      <c r="AC198" s="3" t="s">
        <v>7</v>
      </c>
      <c r="AD198" s="3">
        <f t="shared" si="3"/>
        <v>197</v>
      </c>
    </row>
    <row r="199" ht="15" customHeight="1" spans="1:30">
      <c r="A199" s="3" t="s">
        <v>516</v>
      </c>
      <c r="B199" s="3" t="s">
        <v>516</v>
      </c>
      <c r="C199" s="3" t="s">
        <v>265</v>
      </c>
      <c r="D199" s="3" t="s">
        <v>54</v>
      </c>
      <c r="E199" s="3" t="s">
        <v>316</v>
      </c>
      <c r="F199" s="3" t="s">
        <v>317</v>
      </c>
      <c r="G199" s="3" t="s">
        <v>318</v>
      </c>
      <c r="H199" s="3">
        <v>78</v>
      </c>
      <c r="I199" s="3" t="s">
        <v>7</v>
      </c>
      <c r="J199" s="3">
        <v>78</v>
      </c>
      <c r="K199" s="3" t="s">
        <v>5</v>
      </c>
      <c r="L199" s="3">
        <v>34</v>
      </c>
      <c r="M199" s="3" t="s">
        <v>7</v>
      </c>
      <c r="N199" s="3">
        <v>45</v>
      </c>
      <c r="O199" s="3" t="s">
        <v>9</v>
      </c>
      <c r="P199" s="3">
        <v>31</v>
      </c>
      <c r="Q199" s="3" t="s">
        <v>9</v>
      </c>
      <c r="R199" s="3">
        <v>57.5</v>
      </c>
      <c r="S199" s="3" t="s">
        <v>7</v>
      </c>
      <c r="T199" s="3">
        <v>18.4</v>
      </c>
      <c r="U199" s="3" t="s">
        <v>5</v>
      </c>
      <c r="V199" s="3">
        <v>23.5</v>
      </c>
      <c r="W199" s="3" t="s">
        <v>9</v>
      </c>
      <c r="X199" s="3">
        <v>34</v>
      </c>
      <c r="Y199" s="3" t="s">
        <v>7</v>
      </c>
      <c r="Z199" s="3">
        <v>52.4</v>
      </c>
      <c r="AA199" s="3" t="s">
        <v>7</v>
      </c>
      <c r="AB199" s="3">
        <v>341.9</v>
      </c>
      <c r="AC199" s="3" t="s">
        <v>7</v>
      </c>
      <c r="AD199" s="3">
        <f t="shared" si="3"/>
        <v>198</v>
      </c>
    </row>
    <row r="200" ht="15" customHeight="1" spans="1:30">
      <c r="A200" s="3" t="s">
        <v>517</v>
      </c>
      <c r="B200" s="3" t="s">
        <v>517</v>
      </c>
      <c r="C200" s="3" t="s">
        <v>261</v>
      </c>
      <c r="D200" s="3" t="s">
        <v>55</v>
      </c>
      <c r="E200" s="3" t="s">
        <v>316</v>
      </c>
      <c r="F200" s="3" t="s">
        <v>317</v>
      </c>
      <c r="G200" s="3" t="s">
        <v>318</v>
      </c>
      <c r="H200" s="3">
        <v>81</v>
      </c>
      <c r="I200" s="3" t="s">
        <v>7</v>
      </c>
      <c r="J200" s="3">
        <v>44</v>
      </c>
      <c r="K200" s="3" t="s">
        <v>9</v>
      </c>
      <c r="L200" s="3">
        <v>39</v>
      </c>
      <c r="M200" s="3" t="s">
        <v>7</v>
      </c>
      <c r="N200" s="3">
        <v>55.5</v>
      </c>
      <c r="O200" s="3" t="s">
        <v>5</v>
      </c>
      <c r="P200" s="3">
        <v>36.5</v>
      </c>
      <c r="Q200" s="3" t="s">
        <v>7</v>
      </c>
      <c r="R200" s="3">
        <v>69.5</v>
      </c>
      <c r="S200" s="3" t="s">
        <v>7</v>
      </c>
      <c r="T200" s="3">
        <v>15.6</v>
      </c>
      <c r="U200" s="3" t="s">
        <v>7</v>
      </c>
      <c r="V200" s="3">
        <v>27</v>
      </c>
      <c r="W200" s="3" t="s">
        <v>7</v>
      </c>
      <c r="X200" s="3">
        <v>42.5</v>
      </c>
      <c r="Y200" s="3" t="s">
        <v>7</v>
      </c>
      <c r="Z200" s="3">
        <v>54.6</v>
      </c>
      <c r="AA200" s="3" t="s">
        <v>7</v>
      </c>
      <c r="AB200" s="3">
        <v>341.1</v>
      </c>
      <c r="AC200" s="3" t="s">
        <v>7</v>
      </c>
      <c r="AD200" s="3">
        <f t="shared" si="3"/>
        <v>199</v>
      </c>
    </row>
    <row r="201" ht="15" customHeight="1" spans="1:30">
      <c r="A201" s="3" t="s">
        <v>518</v>
      </c>
      <c r="B201" s="3" t="s">
        <v>518</v>
      </c>
      <c r="C201" s="3" t="s">
        <v>266</v>
      </c>
      <c r="D201" s="3" t="s">
        <v>55</v>
      </c>
      <c r="E201" s="3" t="s">
        <v>316</v>
      </c>
      <c r="F201" s="3" t="s">
        <v>317</v>
      </c>
      <c r="G201" s="3" t="s">
        <v>318</v>
      </c>
      <c r="H201" s="3">
        <v>76</v>
      </c>
      <c r="I201" s="3" t="s">
        <v>7</v>
      </c>
      <c r="J201" s="3">
        <v>73</v>
      </c>
      <c r="K201" s="3" t="s">
        <v>7</v>
      </c>
      <c r="L201" s="3">
        <v>25.5</v>
      </c>
      <c r="M201" s="3" t="s">
        <v>9</v>
      </c>
      <c r="N201" s="3">
        <v>56</v>
      </c>
      <c r="O201" s="3" t="s">
        <v>5</v>
      </c>
      <c r="P201" s="3">
        <v>35</v>
      </c>
      <c r="Q201" s="3" t="s">
        <v>7</v>
      </c>
      <c r="R201" s="3">
        <v>59.5</v>
      </c>
      <c r="S201" s="3" t="s">
        <v>7</v>
      </c>
      <c r="T201" s="3">
        <v>13.8</v>
      </c>
      <c r="U201" s="3" t="s">
        <v>7</v>
      </c>
      <c r="V201" s="3">
        <v>33</v>
      </c>
      <c r="W201" s="3" t="s">
        <v>7</v>
      </c>
      <c r="X201" s="3">
        <v>26.5</v>
      </c>
      <c r="Y201" s="3" t="s">
        <v>9</v>
      </c>
      <c r="Z201" s="3">
        <v>39.3</v>
      </c>
      <c r="AA201" s="3" t="s">
        <v>7</v>
      </c>
      <c r="AB201" s="3">
        <v>338.8</v>
      </c>
      <c r="AC201" s="3" t="s">
        <v>7</v>
      </c>
      <c r="AD201" s="3">
        <f t="shared" si="3"/>
        <v>200</v>
      </c>
    </row>
    <row r="202" ht="15" customHeight="1" spans="1:30">
      <c r="A202" s="3" t="s">
        <v>519</v>
      </c>
      <c r="B202" s="3" t="s">
        <v>519</v>
      </c>
      <c r="C202" s="3" t="s">
        <v>247</v>
      </c>
      <c r="D202" s="3" t="s">
        <v>56</v>
      </c>
      <c r="E202" s="3" t="s">
        <v>316</v>
      </c>
      <c r="F202" s="3" t="s">
        <v>317</v>
      </c>
      <c r="G202" s="3" t="s">
        <v>318</v>
      </c>
      <c r="H202" s="3">
        <v>89.5</v>
      </c>
      <c r="I202" s="3" t="s">
        <v>5</v>
      </c>
      <c r="J202" s="3">
        <v>50</v>
      </c>
      <c r="K202" s="3" t="s">
        <v>7</v>
      </c>
      <c r="L202" s="3">
        <v>35</v>
      </c>
      <c r="M202" s="3" t="s">
        <v>7</v>
      </c>
      <c r="N202" s="3">
        <v>49</v>
      </c>
      <c r="O202" s="3" t="s">
        <v>7</v>
      </c>
      <c r="P202" s="3">
        <v>38</v>
      </c>
      <c r="Q202" s="3" t="s">
        <v>5</v>
      </c>
      <c r="R202" s="3">
        <v>65.5</v>
      </c>
      <c r="S202" s="3" t="s">
        <v>7</v>
      </c>
      <c r="T202" s="3">
        <v>10.7</v>
      </c>
      <c r="U202" s="3" t="s">
        <v>9</v>
      </c>
      <c r="V202" s="3">
        <v>26.5</v>
      </c>
      <c r="W202" s="3" t="s">
        <v>7</v>
      </c>
      <c r="X202" s="3">
        <v>39</v>
      </c>
      <c r="Y202" s="3" t="s">
        <v>7</v>
      </c>
      <c r="Z202" s="3">
        <v>45.7</v>
      </c>
      <c r="AA202" s="3" t="s">
        <v>7</v>
      </c>
      <c r="AB202" s="3">
        <v>337.7</v>
      </c>
      <c r="AC202" s="3" t="s">
        <v>7</v>
      </c>
      <c r="AD202" s="3">
        <f t="shared" si="3"/>
        <v>201</v>
      </c>
    </row>
    <row r="203" ht="15" customHeight="1" spans="1:30">
      <c r="A203" s="3" t="s">
        <v>520</v>
      </c>
      <c r="B203" s="3" t="s">
        <v>520</v>
      </c>
      <c r="C203" s="3" t="s">
        <v>270</v>
      </c>
      <c r="D203" s="3" t="s">
        <v>54</v>
      </c>
      <c r="E203" s="3" t="s">
        <v>316</v>
      </c>
      <c r="F203" s="3" t="s">
        <v>317</v>
      </c>
      <c r="G203" s="3" t="s">
        <v>318</v>
      </c>
      <c r="H203" s="3">
        <v>83.5</v>
      </c>
      <c r="I203" s="3" t="s">
        <v>7</v>
      </c>
      <c r="J203" s="3">
        <v>65</v>
      </c>
      <c r="K203" s="3" t="s">
        <v>7</v>
      </c>
      <c r="L203" s="3">
        <v>20.5</v>
      </c>
      <c r="M203" s="3" t="s">
        <v>9</v>
      </c>
      <c r="N203" s="3">
        <v>51.5</v>
      </c>
      <c r="O203" s="3" t="s">
        <v>7</v>
      </c>
      <c r="P203" s="3">
        <v>37</v>
      </c>
      <c r="Q203" s="3" t="s">
        <v>7</v>
      </c>
      <c r="R203" s="3">
        <v>69</v>
      </c>
      <c r="S203" s="3" t="s">
        <v>7</v>
      </c>
      <c r="T203" s="3">
        <v>10.3</v>
      </c>
      <c r="U203" s="3" t="s">
        <v>9</v>
      </c>
      <c r="V203" s="3">
        <v>32</v>
      </c>
      <c r="W203" s="3" t="s">
        <v>7</v>
      </c>
      <c r="X203" s="3">
        <v>37</v>
      </c>
      <c r="Y203" s="3" t="s">
        <v>7</v>
      </c>
      <c r="Z203" s="3">
        <v>30.8</v>
      </c>
      <c r="AA203" s="3" t="s">
        <v>9</v>
      </c>
      <c r="AB203" s="3">
        <v>336.8</v>
      </c>
      <c r="AC203" s="3" t="s">
        <v>7</v>
      </c>
      <c r="AD203" s="3">
        <f t="shared" si="3"/>
        <v>202</v>
      </c>
    </row>
    <row r="204" ht="15" customHeight="1" spans="1:30">
      <c r="A204" s="3" t="s">
        <v>521</v>
      </c>
      <c r="B204" s="3" t="s">
        <v>521</v>
      </c>
      <c r="C204" s="3" t="s">
        <v>258</v>
      </c>
      <c r="D204" s="3" t="s">
        <v>51</v>
      </c>
      <c r="E204" s="3" t="s">
        <v>316</v>
      </c>
      <c r="F204" s="3" t="s">
        <v>317</v>
      </c>
      <c r="G204" s="3" t="s">
        <v>318</v>
      </c>
      <c r="H204" s="3">
        <v>77.5</v>
      </c>
      <c r="I204" s="3" t="s">
        <v>7</v>
      </c>
      <c r="J204" s="3">
        <v>65</v>
      </c>
      <c r="K204" s="3" t="s">
        <v>7</v>
      </c>
      <c r="L204" s="3">
        <v>33.5</v>
      </c>
      <c r="M204" s="3" t="s">
        <v>7</v>
      </c>
      <c r="N204" s="3">
        <v>50.5</v>
      </c>
      <c r="O204" s="3" t="s">
        <v>7</v>
      </c>
      <c r="P204" s="3">
        <v>38</v>
      </c>
      <c r="Q204" s="3" t="s">
        <v>5</v>
      </c>
      <c r="R204" s="3">
        <v>54</v>
      </c>
      <c r="S204" s="3" t="s">
        <v>9</v>
      </c>
      <c r="T204" s="3">
        <v>15.4</v>
      </c>
      <c r="U204" s="3" t="s">
        <v>7</v>
      </c>
      <c r="V204" s="3">
        <v>21</v>
      </c>
      <c r="W204" s="3" t="s">
        <v>9</v>
      </c>
      <c r="X204" s="3">
        <v>33</v>
      </c>
      <c r="Y204" s="3" t="s">
        <v>7</v>
      </c>
      <c r="Z204" s="3">
        <v>48.9</v>
      </c>
      <c r="AA204" s="3" t="s">
        <v>7</v>
      </c>
      <c r="AB204" s="3">
        <v>333.9</v>
      </c>
      <c r="AC204" s="3" t="s">
        <v>7</v>
      </c>
      <c r="AD204" s="3">
        <f t="shared" si="3"/>
        <v>203</v>
      </c>
    </row>
    <row r="205" ht="15" customHeight="1" spans="1:30">
      <c r="A205" s="3" t="s">
        <v>522</v>
      </c>
      <c r="B205" s="3" t="s">
        <v>522</v>
      </c>
      <c r="C205" s="3" t="s">
        <v>252</v>
      </c>
      <c r="D205" s="3" t="s">
        <v>56</v>
      </c>
      <c r="E205" s="3" t="s">
        <v>316</v>
      </c>
      <c r="F205" s="3" t="s">
        <v>317</v>
      </c>
      <c r="G205" s="3" t="s">
        <v>318</v>
      </c>
      <c r="H205" s="3">
        <v>82</v>
      </c>
      <c r="I205" s="3" t="s">
        <v>7</v>
      </c>
      <c r="J205" s="3">
        <v>60</v>
      </c>
      <c r="K205" s="3" t="s">
        <v>7</v>
      </c>
      <c r="L205" s="3">
        <v>26.5</v>
      </c>
      <c r="M205" s="3" t="s">
        <v>9</v>
      </c>
      <c r="N205" s="3">
        <v>52.5</v>
      </c>
      <c r="O205" s="3" t="s">
        <v>7</v>
      </c>
      <c r="P205" s="3">
        <v>35.5</v>
      </c>
      <c r="Q205" s="3" t="s">
        <v>7</v>
      </c>
      <c r="R205" s="3">
        <v>59</v>
      </c>
      <c r="S205" s="3" t="s">
        <v>7</v>
      </c>
      <c r="T205" s="3">
        <v>13.6</v>
      </c>
      <c r="U205" s="3" t="s">
        <v>7</v>
      </c>
      <c r="V205" s="3">
        <v>26.5</v>
      </c>
      <c r="W205" s="3" t="s">
        <v>7</v>
      </c>
      <c r="X205" s="3">
        <v>32.5</v>
      </c>
      <c r="Y205" s="3" t="s">
        <v>7</v>
      </c>
      <c r="Z205" s="3">
        <v>40.1</v>
      </c>
      <c r="AA205" s="3" t="s">
        <v>7</v>
      </c>
      <c r="AB205" s="3">
        <v>329.1</v>
      </c>
      <c r="AC205" s="3" t="s">
        <v>7</v>
      </c>
      <c r="AD205" s="3">
        <f t="shared" si="3"/>
        <v>204</v>
      </c>
    </row>
    <row r="206" ht="15" customHeight="1" spans="1:30">
      <c r="A206" s="3" t="s">
        <v>523</v>
      </c>
      <c r="B206" s="3" t="s">
        <v>523</v>
      </c>
      <c r="C206" s="3" t="s">
        <v>254</v>
      </c>
      <c r="D206" s="3" t="s">
        <v>53</v>
      </c>
      <c r="E206" s="3" t="s">
        <v>316</v>
      </c>
      <c r="F206" s="3" t="s">
        <v>317</v>
      </c>
      <c r="G206" s="3" t="s">
        <v>318</v>
      </c>
      <c r="H206" s="3">
        <v>83</v>
      </c>
      <c r="I206" s="3" t="s">
        <v>7</v>
      </c>
      <c r="J206" s="3">
        <v>61</v>
      </c>
      <c r="K206" s="3" t="s">
        <v>7</v>
      </c>
      <c r="L206" s="3">
        <v>36.5</v>
      </c>
      <c r="M206" s="3" t="s">
        <v>7</v>
      </c>
      <c r="N206" s="3">
        <v>46.5</v>
      </c>
      <c r="O206" s="3" t="s">
        <v>7</v>
      </c>
      <c r="P206" s="3">
        <v>35</v>
      </c>
      <c r="Q206" s="3" t="s">
        <v>7</v>
      </c>
      <c r="R206" s="3">
        <v>51.5</v>
      </c>
      <c r="S206" s="3" t="s">
        <v>9</v>
      </c>
      <c r="T206" s="3">
        <v>14.9</v>
      </c>
      <c r="U206" s="3" t="s">
        <v>7</v>
      </c>
      <c r="V206" s="3">
        <v>20.5</v>
      </c>
      <c r="W206" s="3" t="s">
        <v>9</v>
      </c>
      <c r="X206" s="3">
        <v>31</v>
      </c>
      <c r="Y206" s="3" t="s">
        <v>7</v>
      </c>
      <c r="Z206" s="3">
        <v>51.4</v>
      </c>
      <c r="AA206" s="3" t="s">
        <v>7</v>
      </c>
      <c r="AB206" s="3">
        <v>328.4</v>
      </c>
      <c r="AC206" s="3" t="s">
        <v>7</v>
      </c>
      <c r="AD206" s="3">
        <f t="shared" si="3"/>
        <v>205</v>
      </c>
    </row>
    <row r="207" ht="15" customHeight="1" spans="1:30">
      <c r="A207" s="3" t="s">
        <v>524</v>
      </c>
      <c r="B207" s="3" t="s">
        <v>524</v>
      </c>
      <c r="C207" s="3" t="s">
        <v>263</v>
      </c>
      <c r="D207" s="3" t="s">
        <v>51</v>
      </c>
      <c r="E207" s="3" t="s">
        <v>316</v>
      </c>
      <c r="F207" s="3" t="s">
        <v>317</v>
      </c>
      <c r="G207" s="3" t="s">
        <v>318</v>
      </c>
      <c r="H207" s="3">
        <v>78</v>
      </c>
      <c r="I207" s="3" t="s">
        <v>7</v>
      </c>
      <c r="J207" s="3">
        <v>61</v>
      </c>
      <c r="K207" s="3" t="s">
        <v>7</v>
      </c>
      <c r="L207" s="3">
        <v>18</v>
      </c>
      <c r="M207" s="3" t="s">
        <v>9</v>
      </c>
      <c r="N207" s="3">
        <v>59</v>
      </c>
      <c r="O207" s="3" t="s">
        <v>5</v>
      </c>
      <c r="P207" s="3">
        <v>30</v>
      </c>
      <c r="Q207" s="3" t="s">
        <v>9</v>
      </c>
      <c r="R207" s="3">
        <v>61</v>
      </c>
      <c r="S207" s="3" t="s">
        <v>7</v>
      </c>
      <c r="T207" s="3">
        <v>10.4</v>
      </c>
      <c r="U207" s="3" t="s">
        <v>9</v>
      </c>
      <c r="V207" s="3">
        <v>26.5</v>
      </c>
      <c r="W207" s="3" t="s">
        <v>7</v>
      </c>
      <c r="X207" s="3">
        <v>34.5</v>
      </c>
      <c r="Y207" s="3" t="s">
        <v>7</v>
      </c>
      <c r="Z207" s="3">
        <v>28.4</v>
      </c>
      <c r="AA207" s="3" t="s">
        <v>9</v>
      </c>
      <c r="AB207" s="3">
        <v>317.4</v>
      </c>
      <c r="AC207" s="3" t="s">
        <v>7</v>
      </c>
      <c r="AD207" s="3">
        <f t="shared" si="3"/>
        <v>206</v>
      </c>
    </row>
    <row r="208" ht="15" customHeight="1" spans="1:30">
      <c r="A208" s="3" t="s">
        <v>525</v>
      </c>
      <c r="B208" s="3" t="s">
        <v>525</v>
      </c>
      <c r="C208" s="3" t="s">
        <v>271</v>
      </c>
      <c r="D208" s="3" t="s">
        <v>55</v>
      </c>
      <c r="E208" s="3" t="s">
        <v>316</v>
      </c>
      <c r="F208" s="3" t="s">
        <v>317</v>
      </c>
      <c r="G208" s="3" t="s">
        <v>318</v>
      </c>
      <c r="H208" s="3">
        <v>78.5</v>
      </c>
      <c r="I208" s="3" t="s">
        <v>7</v>
      </c>
      <c r="J208" s="3">
        <v>51</v>
      </c>
      <c r="K208" s="3" t="s">
        <v>7</v>
      </c>
      <c r="L208" s="3">
        <v>35.5</v>
      </c>
      <c r="M208" s="3" t="s">
        <v>7</v>
      </c>
      <c r="N208" s="3">
        <v>51.5</v>
      </c>
      <c r="O208" s="3" t="s">
        <v>7</v>
      </c>
      <c r="P208" s="3">
        <v>30.5</v>
      </c>
      <c r="Q208" s="3" t="s">
        <v>9</v>
      </c>
      <c r="R208" s="3">
        <v>48.5</v>
      </c>
      <c r="S208" s="3" t="s">
        <v>9</v>
      </c>
      <c r="T208" s="3">
        <v>20.9</v>
      </c>
      <c r="U208" s="3" t="s">
        <v>5</v>
      </c>
      <c r="V208" s="3">
        <v>21.5</v>
      </c>
      <c r="W208" s="3" t="s">
        <v>9</v>
      </c>
      <c r="X208" s="3">
        <v>27</v>
      </c>
      <c r="Y208" s="3" t="s">
        <v>9</v>
      </c>
      <c r="Z208" s="3">
        <v>56.4</v>
      </c>
      <c r="AA208" s="3" t="s">
        <v>7</v>
      </c>
      <c r="AB208" s="3">
        <v>316.4</v>
      </c>
      <c r="AC208" s="3" t="s">
        <v>7</v>
      </c>
      <c r="AD208" s="3">
        <f t="shared" si="3"/>
        <v>207</v>
      </c>
    </row>
    <row r="209" ht="15" customHeight="1" spans="1:30">
      <c r="A209" s="3" t="s">
        <v>526</v>
      </c>
      <c r="B209" s="3" t="s">
        <v>526</v>
      </c>
      <c r="C209" s="3" t="s">
        <v>257</v>
      </c>
      <c r="D209" s="3" t="s">
        <v>56</v>
      </c>
      <c r="E209" s="3" t="s">
        <v>316</v>
      </c>
      <c r="F209" s="3" t="s">
        <v>317</v>
      </c>
      <c r="G209" s="3" t="s">
        <v>318</v>
      </c>
      <c r="H209" s="3">
        <v>70.5</v>
      </c>
      <c r="I209" s="3" t="s">
        <v>9</v>
      </c>
      <c r="J209" s="3">
        <v>73</v>
      </c>
      <c r="K209" s="3" t="s">
        <v>7</v>
      </c>
      <c r="L209" s="3">
        <v>30</v>
      </c>
      <c r="M209" s="3" t="s">
        <v>7</v>
      </c>
      <c r="N209" s="3">
        <v>40.5</v>
      </c>
      <c r="O209" s="3" t="s">
        <v>9</v>
      </c>
      <c r="P209" s="3">
        <v>29</v>
      </c>
      <c r="Q209" s="3" t="s">
        <v>9</v>
      </c>
      <c r="R209" s="3">
        <v>47</v>
      </c>
      <c r="S209" s="3" t="s">
        <v>9</v>
      </c>
      <c r="T209" s="3">
        <v>14.7</v>
      </c>
      <c r="U209" s="3" t="s">
        <v>7</v>
      </c>
      <c r="V209" s="3">
        <v>17.5</v>
      </c>
      <c r="W209" s="3" t="s">
        <v>9</v>
      </c>
      <c r="X209" s="3">
        <v>29.5</v>
      </c>
      <c r="Y209" s="3" t="s">
        <v>7</v>
      </c>
      <c r="Z209" s="3">
        <v>44.7</v>
      </c>
      <c r="AA209" s="3" t="s">
        <v>7</v>
      </c>
      <c r="AB209" s="3">
        <v>304.7</v>
      </c>
      <c r="AC209" s="3" t="s">
        <v>9</v>
      </c>
      <c r="AD209" s="3">
        <f t="shared" si="3"/>
        <v>208</v>
      </c>
    </row>
    <row r="210" ht="15" customHeight="1" spans="1:30">
      <c r="A210" s="3" t="s">
        <v>527</v>
      </c>
      <c r="B210" s="3" t="s">
        <v>527</v>
      </c>
      <c r="C210" s="3" t="s">
        <v>275</v>
      </c>
      <c r="D210" s="3" t="s">
        <v>54</v>
      </c>
      <c r="E210" s="3" t="s">
        <v>316</v>
      </c>
      <c r="F210" s="3" t="s">
        <v>317</v>
      </c>
      <c r="G210" s="3" t="s">
        <v>318</v>
      </c>
      <c r="H210" s="3">
        <v>71.5</v>
      </c>
      <c r="I210" s="3" t="s">
        <v>9</v>
      </c>
      <c r="J210" s="3">
        <v>54</v>
      </c>
      <c r="K210" s="3" t="s">
        <v>7</v>
      </c>
      <c r="L210" s="3">
        <v>42</v>
      </c>
      <c r="M210" s="3" t="s">
        <v>7</v>
      </c>
      <c r="N210" s="3">
        <v>39</v>
      </c>
      <c r="O210" s="3" t="s">
        <v>9</v>
      </c>
      <c r="P210" s="3">
        <v>35</v>
      </c>
      <c r="Q210" s="3" t="s">
        <v>7</v>
      </c>
      <c r="R210" s="3">
        <v>45</v>
      </c>
      <c r="S210" s="3" t="s">
        <v>9</v>
      </c>
      <c r="T210" s="3">
        <v>16.1</v>
      </c>
      <c r="U210" s="3" t="s">
        <v>7</v>
      </c>
      <c r="V210" s="3">
        <v>12.5</v>
      </c>
      <c r="W210" s="3" t="s">
        <v>9</v>
      </c>
      <c r="X210" s="3">
        <v>32.5</v>
      </c>
      <c r="Y210" s="3" t="s">
        <v>7</v>
      </c>
      <c r="Z210" s="3">
        <v>58.1</v>
      </c>
      <c r="AA210" s="3" t="s">
        <v>7</v>
      </c>
      <c r="AB210" s="3">
        <v>302.6</v>
      </c>
      <c r="AC210" s="3" t="s">
        <v>9</v>
      </c>
      <c r="AD210" s="3">
        <f t="shared" si="3"/>
        <v>209</v>
      </c>
    </row>
    <row r="211" ht="15" customHeight="1" spans="1:30">
      <c r="A211" s="3" t="s">
        <v>528</v>
      </c>
      <c r="B211" s="3" t="s">
        <v>528</v>
      </c>
      <c r="C211" s="3" t="s">
        <v>262</v>
      </c>
      <c r="D211" s="3" t="s">
        <v>56</v>
      </c>
      <c r="E211" s="3" t="s">
        <v>316</v>
      </c>
      <c r="F211" s="3" t="s">
        <v>317</v>
      </c>
      <c r="G211" s="3" t="s">
        <v>318</v>
      </c>
      <c r="H211" s="3">
        <v>85</v>
      </c>
      <c r="I211" s="3" t="s">
        <v>5</v>
      </c>
      <c r="J211" s="3">
        <v>32</v>
      </c>
      <c r="K211" s="3" t="s">
        <v>9</v>
      </c>
      <c r="L211" s="3">
        <v>19.5</v>
      </c>
      <c r="M211" s="3" t="s">
        <v>9</v>
      </c>
      <c r="N211" s="3">
        <v>53</v>
      </c>
      <c r="O211" s="3" t="s">
        <v>7</v>
      </c>
      <c r="P211" s="3">
        <v>39.5</v>
      </c>
      <c r="Q211" s="3" t="s">
        <v>5</v>
      </c>
      <c r="R211" s="3">
        <v>42</v>
      </c>
      <c r="S211" s="3" t="s">
        <v>9</v>
      </c>
      <c r="T211" s="3">
        <v>13.4</v>
      </c>
      <c r="U211" s="3" t="s">
        <v>7</v>
      </c>
      <c r="V211" s="3">
        <v>17</v>
      </c>
      <c r="W211" s="3" t="s">
        <v>9</v>
      </c>
      <c r="X211" s="3">
        <v>25</v>
      </c>
      <c r="Y211" s="3" t="s">
        <v>9</v>
      </c>
      <c r="Z211" s="3">
        <v>32.9</v>
      </c>
      <c r="AA211" s="3" t="s">
        <v>9</v>
      </c>
      <c r="AB211" s="3">
        <v>284.4</v>
      </c>
      <c r="AC211" s="3" t="s">
        <v>9</v>
      </c>
      <c r="AD211" s="3">
        <f t="shared" si="3"/>
        <v>210</v>
      </c>
    </row>
    <row r="212" ht="15" customHeight="1" spans="1:30">
      <c r="A212" s="3" t="s">
        <v>529</v>
      </c>
      <c r="B212" s="3" t="s">
        <v>529</v>
      </c>
      <c r="C212" s="3" t="s">
        <v>268</v>
      </c>
      <c r="D212" s="3" t="s">
        <v>51</v>
      </c>
      <c r="E212" s="3" t="s">
        <v>316</v>
      </c>
      <c r="F212" s="3" t="s">
        <v>317</v>
      </c>
      <c r="G212" s="3" t="s">
        <v>318</v>
      </c>
      <c r="H212" s="3">
        <v>62</v>
      </c>
      <c r="I212" s="3" t="s">
        <v>9</v>
      </c>
      <c r="J212" s="3">
        <v>72</v>
      </c>
      <c r="K212" s="3" t="s">
        <v>7</v>
      </c>
      <c r="L212" s="3">
        <v>26.5</v>
      </c>
      <c r="M212" s="3" t="s">
        <v>9</v>
      </c>
      <c r="N212" s="3">
        <v>38</v>
      </c>
      <c r="O212" s="3" t="s">
        <v>9</v>
      </c>
      <c r="P212" s="3">
        <v>25.5</v>
      </c>
      <c r="Q212" s="3" t="s">
        <v>9</v>
      </c>
      <c r="R212" s="3">
        <v>41</v>
      </c>
      <c r="S212" s="3" t="s">
        <v>9</v>
      </c>
      <c r="T212" s="3">
        <v>8.4</v>
      </c>
      <c r="U212" s="3" t="s">
        <v>9</v>
      </c>
      <c r="V212" s="3">
        <v>16.5</v>
      </c>
      <c r="W212" s="3" t="s">
        <v>9</v>
      </c>
      <c r="X212" s="3">
        <v>24.5</v>
      </c>
      <c r="Y212" s="3" t="s">
        <v>9</v>
      </c>
      <c r="Z212" s="3">
        <v>34.9</v>
      </c>
      <c r="AA212" s="3" t="s">
        <v>9</v>
      </c>
      <c r="AB212" s="3">
        <v>273.4</v>
      </c>
      <c r="AC212" s="3" t="s">
        <v>9</v>
      </c>
      <c r="AD212" s="3">
        <f t="shared" si="3"/>
        <v>211</v>
      </c>
    </row>
    <row r="213" ht="15" customHeight="1" spans="1:30">
      <c r="A213" s="3" t="s">
        <v>530</v>
      </c>
      <c r="B213" s="3" t="s">
        <v>530</v>
      </c>
      <c r="C213" s="3" t="s">
        <v>259</v>
      </c>
      <c r="D213" s="3" t="s">
        <v>53</v>
      </c>
      <c r="E213" s="3" t="s">
        <v>316</v>
      </c>
      <c r="F213" s="3" t="s">
        <v>317</v>
      </c>
      <c r="G213" s="3" t="s">
        <v>318</v>
      </c>
      <c r="H213" s="3">
        <v>77.5</v>
      </c>
      <c r="I213" s="3" t="s">
        <v>7</v>
      </c>
      <c r="J213" s="3">
        <v>47</v>
      </c>
      <c r="K213" s="3" t="s">
        <v>9</v>
      </c>
      <c r="L213" s="3">
        <v>23</v>
      </c>
      <c r="M213" s="3" t="s">
        <v>9</v>
      </c>
      <c r="N213" s="3">
        <v>32.5</v>
      </c>
      <c r="O213" s="3" t="s">
        <v>9</v>
      </c>
      <c r="P213" s="3">
        <v>30</v>
      </c>
      <c r="Q213" s="3" t="s">
        <v>9</v>
      </c>
      <c r="R213" s="3">
        <v>37.5</v>
      </c>
      <c r="S213" s="3" t="s">
        <v>9</v>
      </c>
      <c r="T213" s="3">
        <v>12.2</v>
      </c>
      <c r="U213" s="3" t="s">
        <v>9</v>
      </c>
      <c r="V213" s="3">
        <v>18.5</v>
      </c>
      <c r="W213" s="3" t="s">
        <v>9</v>
      </c>
      <c r="X213" s="3">
        <v>19</v>
      </c>
      <c r="Y213" s="3" t="s">
        <v>9</v>
      </c>
      <c r="Z213" s="3">
        <v>35.2</v>
      </c>
      <c r="AA213" s="3" t="s">
        <v>9</v>
      </c>
      <c r="AB213" s="3">
        <v>259.7</v>
      </c>
      <c r="AC213" s="3" t="s">
        <v>9</v>
      </c>
      <c r="AD213" s="3">
        <f t="shared" si="3"/>
        <v>212</v>
      </c>
    </row>
    <row r="214" ht="15" customHeight="1" spans="1:30">
      <c r="A214" s="3" t="s">
        <v>531</v>
      </c>
      <c r="B214" s="3" t="s">
        <v>531</v>
      </c>
      <c r="C214" s="3" t="s">
        <v>264</v>
      </c>
      <c r="D214" s="3" t="s">
        <v>53</v>
      </c>
      <c r="E214" s="3" t="s">
        <v>316</v>
      </c>
      <c r="F214" s="3" t="s">
        <v>317</v>
      </c>
      <c r="G214" s="3" t="s">
        <v>318</v>
      </c>
      <c r="H214" s="3">
        <v>63.5</v>
      </c>
      <c r="I214" s="3" t="s">
        <v>9</v>
      </c>
      <c r="J214" s="3">
        <v>41</v>
      </c>
      <c r="K214" s="3" t="s">
        <v>9</v>
      </c>
      <c r="L214" s="3">
        <v>22.5</v>
      </c>
      <c r="M214" s="3" t="s">
        <v>9</v>
      </c>
      <c r="N214" s="3">
        <v>34.5</v>
      </c>
      <c r="O214" s="3" t="s">
        <v>9</v>
      </c>
      <c r="P214" s="3">
        <v>31</v>
      </c>
      <c r="Q214" s="3" t="s">
        <v>9</v>
      </c>
      <c r="R214" s="3">
        <v>45</v>
      </c>
      <c r="S214" s="3" t="s">
        <v>9</v>
      </c>
      <c r="T214" s="3">
        <v>18.7</v>
      </c>
      <c r="U214" s="3" t="s">
        <v>5</v>
      </c>
      <c r="V214" s="3">
        <v>20.5</v>
      </c>
      <c r="W214" s="3" t="s">
        <v>9</v>
      </c>
      <c r="X214" s="3">
        <v>24.5</v>
      </c>
      <c r="Y214" s="3" t="s">
        <v>9</v>
      </c>
      <c r="Z214" s="3">
        <v>41.2</v>
      </c>
      <c r="AA214" s="3" t="s">
        <v>7</v>
      </c>
      <c r="AB214" s="3">
        <v>256.2</v>
      </c>
      <c r="AC214" s="3" t="s">
        <v>9</v>
      </c>
      <c r="AD214" s="3">
        <f t="shared" si="3"/>
        <v>213</v>
      </c>
    </row>
    <row r="215" ht="15" customHeight="1" spans="1:30">
      <c r="A215" s="3" t="s">
        <v>532</v>
      </c>
      <c r="B215" s="3" t="s">
        <v>532</v>
      </c>
      <c r="C215" s="3" t="s">
        <v>269</v>
      </c>
      <c r="D215" s="3" t="s">
        <v>53</v>
      </c>
      <c r="E215" s="3" t="s">
        <v>316</v>
      </c>
      <c r="F215" s="3" t="s">
        <v>317</v>
      </c>
      <c r="G215" s="3" t="s">
        <v>318</v>
      </c>
      <c r="H215" s="3">
        <v>56.5</v>
      </c>
      <c r="I215" s="3" t="s">
        <v>9</v>
      </c>
      <c r="J215" s="3">
        <v>63</v>
      </c>
      <c r="K215" s="3" t="s">
        <v>7</v>
      </c>
      <c r="L215" s="3">
        <v>24</v>
      </c>
      <c r="M215" s="3" t="s">
        <v>9</v>
      </c>
      <c r="N215" s="3">
        <v>32.5</v>
      </c>
      <c r="O215" s="3" t="s">
        <v>9</v>
      </c>
      <c r="P215" s="3">
        <v>29.5</v>
      </c>
      <c r="Q215" s="3" t="s">
        <v>9</v>
      </c>
      <c r="R215" s="3">
        <v>37.5</v>
      </c>
      <c r="S215" s="3" t="s">
        <v>9</v>
      </c>
      <c r="T215" s="3">
        <v>10.6</v>
      </c>
      <c r="U215" s="3" t="s">
        <v>9</v>
      </c>
      <c r="V215" s="3">
        <v>17</v>
      </c>
      <c r="W215" s="3" t="s">
        <v>9</v>
      </c>
      <c r="X215" s="3">
        <v>20.5</v>
      </c>
      <c r="Y215" s="3" t="s">
        <v>9</v>
      </c>
      <c r="Z215" s="3">
        <v>34.6</v>
      </c>
      <c r="AA215" s="3" t="s">
        <v>9</v>
      </c>
      <c r="AB215" s="3">
        <v>253.6</v>
      </c>
      <c r="AC215" s="3" t="s">
        <v>9</v>
      </c>
      <c r="AD215" s="3">
        <f t="shared" si="3"/>
        <v>214</v>
      </c>
    </row>
    <row r="216" ht="15" customHeight="1" spans="1:30">
      <c r="A216" s="3" t="s">
        <v>533</v>
      </c>
      <c r="B216" s="3" t="s">
        <v>533</v>
      </c>
      <c r="C216" s="3" t="s">
        <v>267</v>
      </c>
      <c r="D216" s="3" t="s">
        <v>56</v>
      </c>
      <c r="E216" s="3" t="s">
        <v>316</v>
      </c>
      <c r="F216" s="3" t="s">
        <v>317</v>
      </c>
      <c r="G216" s="3" t="s">
        <v>318</v>
      </c>
      <c r="H216" s="3">
        <v>54.5</v>
      </c>
      <c r="I216" s="3" t="s">
        <v>9</v>
      </c>
      <c r="J216" s="3">
        <v>55</v>
      </c>
      <c r="K216" s="3" t="s">
        <v>7</v>
      </c>
      <c r="L216" s="3">
        <v>15</v>
      </c>
      <c r="M216" s="3" t="s">
        <v>9</v>
      </c>
      <c r="N216" s="3">
        <v>37.5</v>
      </c>
      <c r="O216" s="3" t="s">
        <v>9</v>
      </c>
      <c r="P216" s="3">
        <v>29</v>
      </c>
      <c r="Q216" s="3" t="s">
        <v>9</v>
      </c>
      <c r="R216" s="3">
        <v>49.5</v>
      </c>
      <c r="S216" s="3" t="s">
        <v>9</v>
      </c>
      <c r="T216" s="3">
        <v>9.1</v>
      </c>
      <c r="U216" s="3" t="s">
        <v>9</v>
      </c>
      <c r="V216" s="3">
        <v>22</v>
      </c>
      <c r="W216" s="3" t="s">
        <v>9</v>
      </c>
      <c r="X216" s="3">
        <v>27.5</v>
      </c>
      <c r="Y216" s="3" t="s">
        <v>9</v>
      </c>
      <c r="Z216" s="3">
        <v>24.1</v>
      </c>
      <c r="AA216" s="3" t="s">
        <v>9</v>
      </c>
      <c r="AB216" s="3">
        <v>249.6</v>
      </c>
      <c r="AC216" s="3" t="s">
        <v>9</v>
      </c>
      <c r="AD216" s="3">
        <f t="shared" si="3"/>
        <v>215</v>
      </c>
    </row>
    <row r="217" ht="15" customHeight="1" spans="1:30">
      <c r="A217" s="3" t="s">
        <v>534</v>
      </c>
      <c r="B217" s="3" t="s">
        <v>534</v>
      </c>
      <c r="C217" s="3" t="s">
        <v>276</v>
      </c>
      <c r="D217" s="3" t="s">
        <v>55</v>
      </c>
      <c r="E217" s="3" t="s">
        <v>316</v>
      </c>
      <c r="F217" s="3" t="s">
        <v>317</v>
      </c>
      <c r="G217" s="3" t="s">
        <v>318</v>
      </c>
      <c r="H217" s="3">
        <v>72</v>
      </c>
      <c r="I217" s="3" t="s">
        <v>9</v>
      </c>
      <c r="J217" s="3">
        <v>21</v>
      </c>
      <c r="K217" s="3" t="s">
        <v>9</v>
      </c>
      <c r="L217" s="3">
        <v>19</v>
      </c>
      <c r="M217" s="3" t="s">
        <v>9</v>
      </c>
      <c r="N217" s="3">
        <v>51.5</v>
      </c>
      <c r="O217" s="3" t="s">
        <v>7</v>
      </c>
      <c r="P217" s="3">
        <v>35.5</v>
      </c>
      <c r="Q217" s="3" t="s">
        <v>7</v>
      </c>
      <c r="R217" s="3">
        <v>41</v>
      </c>
      <c r="S217" s="3" t="s">
        <v>9</v>
      </c>
      <c r="T217" s="3">
        <v>9.2</v>
      </c>
      <c r="U217" s="3" t="s">
        <v>9</v>
      </c>
      <c r="V217" s="3">
        <v>21</v>
      </c>
      <c r="W217" s="3" t="s">
        <v>9</v>
      </c>
      <c r="X217" s="3">
        <v>20</v>
      </c>
      <c r="Y217" s="3" t="s">
        <v>9</v>
      </c>
      <c r="Z217" s="3">
        <v>28.2</v>
      </c>
      <c r="AA217" s="3" t="s">
        <v>9</v>
      </c>
      <c r="AB217" s="3">
        <v>249.2</v>
      </c>
      <c r="AC217" s="3" t="s">
        <v>9</v>
      </c>
      <c r="AD217" s="3">
        <f t="shared" si="3"/>
        <v>216</v>
      </c>
    </row>
    <row r="218" ht="15" customHeight="1" spans="1:30">
      <c r="A218" s="3" t="s">
        <v>535</v>
      </c>
      <c r="B218" s="3" t="s">
        <v>535</v>
      </c>
      <c r="C218" s="3" t="s">
        <v>280</v>
      </c>
      <c r="D218" s="3" t="s">
        <v>54</v>
      </c>
      <c r="E218" s="3" t="s">
        <v>316</v>
      </c>
      <c r="F218" s="3" t="s">
        <v>317</v>
      </c>
      <c r="G218" s="3" t="s">
        <v>318</v>
      </c>
      <c r="H218" s="3">
        <v>68.5</v>
      </c>
      <c r="I218" s="3" t="s">
        <v>9</v>
      </c>
      <c r="J218" s="3">
        <v>32</v>
      </c>
      <c r="K218" s="3" t="s">
        <v>9</v>
      </c>
      <c r="L218" s="3">
        <v>30.5</v>
      </c>
      <c r="M218" s="3" t="s">
        <v>7</v>
      </c>
      <c r="N218" s="3">
        <v>38</v>
      </c>
      <c r="O218" s="3" t="s">
        <v>9</v>
      </c>
      <c r="P218" s="3">
        <v>28</v>
      </c>
      <c r="Q218" s="3" t="s">
        <v>9</v>
      </c>
      <c r="R218" s="3">
        <v>35</v>
      </c>
      <c r="S218" s="3" t="s">
        <v>9</v>
      </c>
      <c r="T218" s="3">
        <v>14.9</v>
      </c>
      <c r="U218" s="3" t="s">
        <v>7</v>
      </c>
      <c r="V218" s="3">
        <v>16</v>
      </c>
      <c r="W218" s="3" t="s">
        <v>9</v>
      </c>
      <c r="X218" s="3">
        <v>19</v>
      </c>
      <c r="Y218" s="3" t="s">
        <v>9</v>
      </c>
      <c r="Z218" s="3">
        <v>45.4</v>
      </c>
      <c r="AA218" s="3" t="s">
        <v>7</v>
      </c>
      <c r="AB218" s="3">
        <v>246.9</v>
      </c>
      <c r="AC218" s="3" t="s">
        <v>9</v>
      </c>
      <c r="AD218" s="3">
        <f t="shared" si="3"/>
        <v>217</v>
      </c>
    </row>
    <row r="219" ht="15" customHeight="1" spans="1:30">
      <c r="A219" s="3" t="s">
        <v>536</v>
      </c>
      <c r="B219" s="3" t="s">
        <v>536</v>
      </c>
      <c r="C219" s="3" t="s">
        <v>273</v>
      </c>
      <c r="D219" s="3" t="s">
        <v>51</v>
      </c>
      <c r="E219" s="3" t="s">
        <v>316</v>
      </c>
      <c r="F219" s="3" t="s">
        <v>317</v>
      </c>
      <c r="G219" s="3" t="s">
        <v>318</v>
      </c>
      <c r="H219" s="3">
        <v>73</v>
      </c>
      <c r="I219" s="3" t="s">
        <v>9</v>
      </c>
      <c r="J219" s="3">
        <v>33</v>
      </c>
      <c r="K219" s="3" t="s">
        <v>9</v>
      </c>
      <c r="L219" s="3">
        <v>22.5</v>
      </c>
      <c r="M219" s="3" t="s">
        <v>9</v>
      </c>
      <c r="N219" s="3">
        <v>38.5</v>
      </c>
      <c r="O219" s="3" t="s">
        <v>9</v>
      </c>
      <c r="P219" s="3">
        <v>26</v>
      </c>
      <c r="Q219" s="3" t="s">
        <v>9</v>
      </c>
      <c r="R219" s="3">
        <v>41</v>
      </c>
      <c r="S219" s="3" t="s">
        <v>9</v>
      </c>
      <c r="T219" s="3">
        <v>8.2</v>
      </c>
      <c r="U219" s="3" t="s">
        <v>9</v>
      </c>
      <c r="V219" s="3">
        <v>21.5</v>
      </c>
      <c r="W219" s="3" t="s">
        <v>9</v>
      </c>
      <c r="X219" s="3">
        <v>19.5</v>
      </c>
      <c r="Y219" s="3" t="s">
        <v>9</v>
      </c>
      <c r="Z219" s="3">
        <v>30.7</v>
      </c>
      <c r="AA219" s="3" t="s">
        <v>9</v>
      </c>
      <c r="AB219" s="3">
        <v>242.2</v>
      </c>
      <c r="AC219" s="3" t="s">
        <v>9</v>
      </c>
      <c r="AD219" s="3">
        <f t="shared" si="3"/>
        <v>218</v>
      </c>
    </row>
    <row r="220" ht="15" customHeight="1" spans="1:30">
      <c r="A220" s="3" t="s">
        <v>537</v>
      </c>
      <c r="B220" s="3" t="s">
        <v>537</v>
      </c>
      <c r="C220" s="3" t="s">
        <v>282</v>
      </c>
      <c r="D220" s="3" t="s">
        <v>54</v>
      </c>
      <c r="E220" s="3" t="s">
        <v>316</v>
      </c>
      <c r="F220" s="3" t="s">
        <v>317</v>
      </c>
      <c r="G220" s="3" t="s">
        <v>318</v>
      </c>
      <c r="H220" s="3">
        <v>64.5</v>
      </c>
      <c r="I220" s="3" t="s">
        <v>9</v>
      </c>
      <c r="J220" s="3">
        <v>34</v>
      </c>
      <c r="K220" s="3" t="s">
        <v>9</v>
      </c>
      <c r="L220" s="3">
        <v>21.5</v>
      </c>
      <c r="M220" s="3" t="s">
        <v>9</v>
      </c>
      <c r="N220" s="3">
        <v>44</v>
      </c>
      <c r="O220" s="3" t="s">
        <v>9</v>
      </c>
      <c r="P220" s="3">
        <v>23.5</v>
      </c>
      <c r="Q220" s="3" t="s">
        <v>9</v>
      </c>
      <c r="R220" s="3">
        <v>42</v>
      </c>
      <c r="S220" s="3" t="s">
        <v>9</v>
      </c>
      <c r="T220" s="3">
        <v>8.3</v>
      </c>
      <c r="U220" s="3" t="s">
        <v>9</v>
      </c>
      <c r="V220" s="3">
        <v>17</v>
      </c>
      <c r="W220" s="3" t="s">
        <v>9</v>
      </c>
      <c r="X220" s="3">
        <v>25</v>
      </c>
      <c r="Y220" s="3" t="s">
        <v>9</v>
      </c>
      <c r="Z220" s="3">
        <v>29.8</v>
      </c>
      <c r="AA220" s="3" t="s">
        <v>9</v>
      </c>
      <c r="AB220" s="3">
        <v>237.8</v>
      </c>
      <c r="AC220" s="3" t="s">
        <v>9</v>
      </c>
      <c r="AD220" s="3">
        <f t="shared" si="3"/>
        <v>219</v>
      </c>
    </row>
    <row r="221" ht="15" customHeight="1" spans="1:30">
      <c r="A221" s="3" t="s">
        <v>538</v>
      </c>
      <c r="B221" s="3" t="s">
        <v>538</v>
      </c>
      <c r="C221" s="3" t="s">
        <v>272</v>
      </c>
      <c r="D221" s="3" t="s">
        <v>56</v>
      </c>
      <c r="E221" s="3" t="s">
        <v>316</v>
      </c>
      <c r="F221" s="3" t="s">
        <v>317</v>
      </c>
      <c r="G221" s="3" t="s">
        <v>318</v>
      </c>
      <c r="H221" s="3">
        <v>60</v>
      </c>
      <c r="I221" s="3" t="s">
        <v>9</v>
      </c>
      <c r="J221" s="3">
        <v>35</v>
      </c>
      <c r="K221" s="3" t="s">
        <v>9</v>
      </c>
      <c r="L221" s="3">
        <v>19</v>
      </c>
      <c r="M221" s="3" t="s">
        <v>9</v>
      </c>
      <c r="N221" s="3">
        <v>50.5</v>
      </c>
      <c r="O221" s="3" t="s">
        <v>7</v>
      </c>
      <c r="P221" s="3">
        <v>34</v>
      </c>
      <c r="Q221" s="3" t="s">
        <v>7</v>
      </c>
      <c r="R221" s="3">
        <v>34</v>
      </c>
      <c r="S221" s="3" t="s">
        <v>9</v>
      </c>
      <c r="T221" s="3" t="s">
        <v>406</v>
      </c>
      <c r="U221" s="3" t="s">
        <v>406</v>
      </c>
      <c r="V221" s="3">
        <v>14.5</v>
      </c>
      <c r="W221" s="3" t="s">
        <v>9</v>
      </c>
      <c r="X221" s="3">
        <v>19.5</v>
      </c>
      <c r="Y221" s="3" t="s">
        <v>9</v>
      </c>
      <c r="Z221" s="3">
        <v>19</v>
      </c>
      <c r="AA221" s="3" t="s">
        <v>9</v>
      </c>
      <c r="AB221" s="3">
        <v>232.5</v>
      </c>
      <c r="AC221" s="3" t="s">
        <v>406</v>
      </c>
      <c r="AD221" s="3">
        <f t="shared" si="3"/>
        <v>220</v>
      </c>
    </row>
    <row r="222" ht="15" customHeight="1" spans="1:30">
      <c r="A222" s="3" t="s">
        <v>539</v>
      </c>
      <c r="B222" s="3" t="s">
        <v>539</v>
      </c>
      <c r="C222" s="3" t="s">
        <v>277</v>
      </c>
      <c r="D222" s="3" t="s">
        <v>56</v>
      </c>
      <c r="E222" s="3" t="s">
        <v>316</v>
      </c>
      <c r="F222" s="3" t="s">
        <v>317</v>
      </c>
      <c r="G222" s="3" t="s">
        <v>318</v>
      </c>
      <c r="H222" s="3">
        <v>65.5</v>
      </c>
      <c r="I222" s="3" t="s">
        <v>9</v>
      </c>
      <c r="J222" s="3">
        <v>31</v>
      </c>
      <c r="K222" s="3" t="s">
        <v>9</v>
      </c>
      <c r="L222" s="3">
        <v>27</v>
      </c>
      <c r="M222" s="3" t="s">
        <v>9</v>
      </c>
      <c r="N222" s="3">
        <v>24</v>
      </c>
      <c r="O222" s="3" t="s">
        <v>10</v>
      </c>
      <c r="P222" s="3">
        <v>31.5</v>
      </c>
      <c r="Q222" s="3" t="s">
        <v>9</v>
      </c>
      <c r="R222" s="3">
        <v>41.5</v>
      </c>
      <c r="S222" s="3" t="s">
        <v>9</v>
      </c>
      <c r="T222" s="3">
        <v>10.9</v>
      </c>
      <c r="U222" s="3" t="s">
        <v>9</v>
      </c>
      <c r="V222" s="3">
        <v>16</v>
      </c>
      <c r="W222" s="3" t="s">
        <v>9</v>
      </c>
      <c r="X222" s="3">
        <v>25.5</v>
      </c>
      <c r="Y222" s="3" t="s">
        <v>9</v>
      </c>
      <c r="Z222" s="3">
        <v>37.9</v>
      </c>
      <c r="AA222" s="3" t="s">
        <v>9</v>
      </c>
      <c r="AB222" s="3">
        <v>231.4</v>
      </c>
      <c r="AC222" s="3" t="s">
        <v>9</v>
      </c>
      <c r="AD222" s="3">
        <f t="shared" si="3"/>
        <v>221</v>
      </c>
    </row>
    <row r="223" ht="15" customHeight="1" spans="1:30">
      <c r="A223" s="3" t="s">
        <v>540</v>
      </c>
      <c r="B223" s="3" t="s">
        <v>540</v>
      </c>
      <c r="C223" s="3" t="s">
        <v>284</v>
      </c>
      <c r="D223" s="3" t="s">
        <v>54</v>
      </c>
      <c r="E223" s="3" t="s">
        <v>316</v>
      </c>
      <c r="F223" s="3" t="s">
        <v>317</v>
      </c>
      <c r="G223" s="3" t="s">
        <v>318</v>
      </c>
      <c r="H223" s="3">
        <v>63</v>
      </c>
      <c r="I223" s="3" t="s">
        <v>9</v>
      </c>
      <c r="J223" s="3">
        <v>22</v>
      </c>
      <c r="K223" s="3" t="s">
        <v>9</v>
      </c>
      <c r="L223" s="3">
        <v>30.5</v>
      </c>
      <c r="M223" s="3" t="s">
        <v>7</v>
      </c>
      <c r="N223" s="3">
        <v>33</v>
      </c>
      <c r="O223" s="3" t="s">
        <v>9</v>
      </c>
      <c r="P223" s="3">
        <v>29.5</v>
      </c>
      <c r="Q223" s="3" t="s">
        <v>9</v>
      </c>
      <c r="R223" s="3">
        <v>32.5</v>
      </c>
      <c r="S223" s="3" t="s">
        <v>9</v>
      </c>
      <c r="T223" s="3">
        <v>17.6</v>
      </c>
      <c r="U223" s="3" t="s">
        <v>7</v>
      </c>
      <c r="V223" s="3">
        <v>12</v>
      </c>
      <c r="W223" s="3" t="s">
        <v>9</v>
      </c>
      <c r="X223" s="3">
        <v>20.5</v>
      </c>
      <c r="Y223" s="3" t="s">
        <v>9</v>
      </c>
      <c r="Z223" s="3">
        <v>48.1</v>
      </c>
      <c r="AA223" s="3" t="s">
        <v>7</v>
      </c>
      <c r="AB223" s="3">
        <v>228.1</v>
      </c>
      <c r="AC223" s="3" t="s">
        <v>9</v>
      </c>
      <c r="AD223" s="3">
        <f t="shared" si="3"/>
        <v>222</v>
      </c>
    </row>
    <row r="224" ht="15" customHeight="1" spans="1:30">
      <c r="A224" s="3" t="s">
        <v>541</v>
      </c>
      <c r="B224" s="3" t="s">
        <v>541</v>
      </c>
      <c r="C224" s="3" t="s">
        <v>274</v>
      </c>
      <c r="D224" s="3" t="s">
        <v>53</v>
      </c>
      <c r="E224" s="3" t="s">
        <v>316</v>
      </c>
      <c r="F224" s="3" t="s">
        <v>317</v>
      </c>
      <c r="G224" s="3" t="s">
        <v>318</v>
      </c>
      <c r="H224" s="3">
        <v>74</v>
      </c>
      <c r="I224" s="3" t="s">
        <v>7</v>
      </c>
      <c r="J224" s="3">
        <v>21</v>
      </c>
      <c r="K224" s="3" t="s">
        <v>9</v>
      </c>
      <c r="L224" s="3">
        <v>22</v>
      </c>
      <c r="M224" s="3" t="s">
        <v>9</v>
      </c>
      <c r="N224" s="3">
        <v>25.5</v>
      </c>
      <c r="O224" s="3" t="s">
        <v>10</v>
      </c>
      <c r="P224" s="3">
        <v>32</v>
      </c>
      <c r="Q224" s="3" t="s">
        <v>7</v>
      </c>
      <c r="R224" s="3">
        <v>28</v>
      </c>
      <c r="S224" s="3" t="s">
        <v>9</v>
      </c>
      <c r="T224" s="3">
        <v>6.1</v>
      </c>
      <c r="U224" s="3" t="s">
        <v>9</v>
      </c>
      <c r="V224" s="3">
        <v>10</v>
      </c>
      <c r="W224" s="3" t="s">
        <v>9</v>
      </c>
      <c r="X224" s="3">
        <v>18</v>
      </c>
      <c r="Y224" s="3" t="s">
        <v>9</v>
      </c>
      <c r="Z224" s="3">
        <v>28.1</v>
      </c>
      <c r="AA224" s="3" t="s">
        <v>9</v>
      </c>
      <c r="AB224" s="3">
        <v>208.6</v>
      </c>
      <c r="AC224" s="3" t="s">
        <v>9</v>
      </c>
      <c r="AD224" s="3">
        <f t="shared" si="3"/>
        <v>223</v>
      </c>
    </row>
    <row r="225" ht="15" customHeight="1" spans="1:30">
      <c r="A225" s="3" t="s">
        <v>542</v>
      </c>
      <c r="B225" s="3" t="s">
        <v>542</v>
      </c>
      <c r="C225" s="3" t="s">
        <v>281</v>
      </c>
      <c r="D225" s="3" t="s">
        <v>55</v>
      </c>
      <c r="E225" s="3" t="s">
        <v>316</v>
      </c>
      <c r="F225" s="3" t="s">
        <v>317</v>
      </c>
      <c r="G225" s="3" t="s">
        <v>318</v>
      </c>
      <c r="H225" s="3">
        <v>44</v>
      </c>
      <c r="I225" s="3" t="s">
        <v>10</v>
      </c>
      <c r="J225" s="3">
        <v>33</v>
      </c>
      <c r="K225" s="3" t="s">
        <v>9</v>
      </c>
      <c r="L225" s="3">
        <v>10</v>
      </c>
      <c r="M225" s="3" t="s">
        <v>10</v>
      </c>
      <c r="N225" s="3">
        <v>32</v>
      </c>
      <c r="O225" s="3" t="s">
        <v>9</v>
      </c>
      <c r="P225" s="3">
        <v>24</v>
      </c>
      <c r="Q225" s="3" t="s">
        <v>9</v>
      </c>
      <c r="R225" s="3">
        <v>41</v>
      </c>
      <c r="S225" s="3" t="s">
        <v>9</v>
      </c>
      <c r="T225" s="3">
        <v>14.9</v>
      </c>
      <c r="U225" s="3" t="s">
        <v>7</v>
      </c>
      <c r="V225" s="3">
        <v>22.5</v>
      </c>
      <c r="W225" s="3" t="s">
        <v>9</v>
      </c>
      <c r="X225" s="3">
        <v>18.5</v>
      </c>
      <c r="Y225" s="3" t="s">
        <v>9</v>
      </c>
      <c r="Z225" s="3">
        <v>24.9</v>
      </c>
      <c r="AA225" s="3" t="s">
        <v>9</v>
      </c>
      <c r="AB225" s="3">
        <v>198.9</v>
      </c>
      <c r="AC225" s="3" t="s">
        <v>9</v>
      </c>
      <c r="AD225" s="3">
        <f t="shared" si="3"/>
        <v>224</v>
      </c>
    </row>
    <row r="226" ht="15" customHeight="1" spans="1:30">
      <c r="A226" s="3" t="s">
        <v>543</v>
      </c>
      <c r="B226" s="3" t="s">
        <v>543</v>
      </c>
      <c r="C226" s="3" t="s">
        <v>279</v>
      </c>
      <c r="D226" s="3" t="s">
        <v>53</v>
      </c>
      <c r="E226" s="3" t="s">
        <v>316</v>
      </c>
      <c r="F226" s="3" t="s">
        <v>317</v>
      </c>
      <c r="G226" s="3" t="s">
        <v>318</v>
      </c>
      <c r="H226" s="3">
        <v>52.5</v>
      </c>
      <c r="I226" s="3" t="s">
        <v>9</v>
      </c>
      <c r="J226" s="3">
        <v>37</v>
      </c>
      <c r="K226" s="3" t="s">
        <v>9</v>
      </c>
      <c r="L226" s="3">
        <v>12.5</v>
      </c>
      <c r="M226" s="3" t="s">
        <v>10</v>
      </c>
      <c r="N226" s="3">
        <v>33</v>
      </c>
      <c r="O226" s="3" t="s">
        <v>9</v>
      </c>
      <c r="P226" s="3">
        <v>22</v>
      </c>
      <c r="Q226" s="3" t="s">
        <v>10</v>
      </c>
      <c r="R226" s="3">
        <v>28</v>
      </c>
      <c r="S226" s="3" t="s">
        <v>9</v>
      </c>
      <c r="T226" s="3">
        <v>4.5</v>
      </c>
      <c r="U226" s="3" t="s">
        <v>10</v>
      </c>
      <c r="V226" s="3">
        <v>7</v>
      </c>
      <c r="W226" s="3" t="s">
        <v>10</v>
      </c>
      <c r="X226" s="3">
        <v>21</v>
      </c>
      <c r="Y226" s="3" t="s">
        <v>9</v>
      </c>
      <c r="Z226" s="3">
        <v>17</v>
      </c>
      <c r="AA226" s="3" t="s">
        <v>10</v>
      </c>
      <c r="AB226" s="3">
        <v>189.5</v>
      </c>
      <c r="AC226" s="3" t="s">
        <v>9</v>
      </c>
      <c r="AD226" s="3">
        <f t="shared" si="3"/>
        <v>225</v>
      </c>
    </row>
    <row r="227" ht="15" customHeight="1" spans="1:30">
      <c r="A227" s="3" t="s">
        <v>544</v>
      </c>
      <c r="B227" s="3" t="s">
        <v>544</v>
      </c>
      <c r="C227" s="3" t="s">
        <v>283</v>
      </c>
      <c r="D227" s="3" t="s">
        <v>55</v>
      </c>
      <c r="E227" s="3" t="s">
        <v>316</v>
      </c>
      <c r="F227" s="3" t="s">
        <v>317</v>
      </c>
      <c r="G227" s="3" t="s">
        <v>318</v>
      </c>
      <c r="H227" s="3">
        <v>38.5</v>
      </c>
      <c r="I227" s="3" t="s">
        <v>10</v>
      </c>
      <c r="J227" s="3">
        <v>15</v>
      </c>
      <c r="K227" s="3" t="s">
        <v>10</v>
      </c>
      <c r="L227" s="3">
        <v>14.5</v>
      </c>
      <c r="M227" s="3" t="s">
        <v>9</v>
      </c>
      <c r="N227" s="3">
        <v>29.5</v>
      </c>
      <c r="O227" s="3" t="s">
        <v>9</v>
      </c>
      <c r="P227" s="3">
        <v>24</v>
      </c>
      <c r="Q227" s="3" t="s">
        <v>9</v>
      </c>
      <c r="R227" s="3">
        <v>19</v>
      </c>
      <c r="S227" s="3" t="s">
        <v>10</v>
      </c>
      <c r="T227" s="3">
        <v>10.7</v>
      </c>
      <c r="U227" s="3" t="s">
        <v>9</v>
      </c>
      <c r="V227" s="3">
        <v>3</v>
      </c>
      <c r="W227" s="3" t="s">
        <v>10</v>
      </c>
      <c r="X227" s="3">
        <v>16</v>
      </c>
      <c r="Y227" s="3" t="s">
        <v>9</v>
      </c>
      <c r="Z227" s="3">
        <v>25.2</v>
      </c>
      <c r="AA227" s="3" t="s">
        <v>9</v>
      </c>
      <c r="AB227" s="3">
        <v>151.2</v>
      </c>
      <c r="AC227" s="3" t="s">
        <v>10</v>
      </c>
      <c r="AD227" s="3">
        <f t="shared" si="3"/>
        <v>226</v>
      </c>
    </row>
    <row r="228" ht="15" customHeight="1" spans="1:30">
      <c r="A228" s="3" t="s">
        <v>545</v>
      </c>
      <c r="B228" s="3" t="s">
        <v>545</v>
      </c>
      <c r="C228" s="3" t="s">
        <v>278</v>
      </c>
      <c r="D228" s="3" t="s">
        <v>51</v>
      </c>
      <c r="E228" s="3" t="s">
        <v>316</v>
      </c>
      <c r="F228" s="3" t="s">
        <v>317</v>
      </c>
      <c r="G228" s="3" t="s">
        <v>318</v>
      </c>
      <c r="H228" s="3">
        <v>36.5</v>
      </c>
      <c r="I228" s="3" t="s">
        <v>10</v>
      </c>
      <c r="J228" s="3">
        <v>11</v>
      </c>
      <c r="K228" s="3" t="s">
        <v>10</v>
      </c>
      <c r="L228" s="3">
        <v>14.5</v>
      </c>
      <c r="M228" s="3" t="s">
        <v>9</v>
      </c>
      <c r="N228" s="3">
        <v>12</v>
      </c>
      <c r="O228" s="3" t="s">
        <v>10</v>
      </c>
      <c r="P228" s="3">
        <v>13.5</v>
      </c>
      <c r="Q228" s="3" t="s">
        <v>10</v>
      </c>
      <c r="R228" s="3">
        <v>26.5</v>
      </c>
      <c r="S228" s="3" t="s">
        <v>9</v>
      </c>
      <c r="T228" s="3">
        <v>6.3</v>
      </c>
      <c r="U228" s="3" t="s">
        <v>9</v>
      </c>
      <c r="V228" s="3">
        <v>5.5</v>
      </c>
      <c r="W228" s="3" t="s">
        <v>10</v>
      </c>
      <c r="X228" s="3">
        <v>21</v>
      </c>
      <c r="Y228" s="3" t="s">
        <v>9</v>
      </c>
      <c r="Z228" s="3">
        <v>20.8</v>
      </c>
      <c r="AA228" s="3" t="s">
        <v>9</v>
      </c>
      <c r="AB228" s="3">
        <v>120.3</v>
      </c>
      <c r="AC228" s="3" t="s">
        <v>10</v>
      </c>
      <c r="AD228" s="3">
        <f t="shared" si="3"/>
        <v>227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D1:D228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showGridLines="0" workbookViewId="0">
      <selection activeCell="A1" sqref="A1"/>
    </sheetView>
  </sheetViews>
  <sheetFormatPr defaultColWidth="9" defaultRowHeight="13.5"/>
  <sheetData>
    <row r="1" ht="15" customHeight="1" spans="1:11">
      <c r="A1" s="4" t="s">
        <v>50</v>
      </c>
      <c r="B1" s="4" t="s">
        <v>51</v>
      </c>
      <c r="C1" s="4" t="s">
        <v>546</v>
      </c>
      <c r="D1" s="4" t="s">
        <v>53</v>
      </c>
      <c r="E1" s="4" t="s">
        <v>546</v>
      </c>
      <c r="F1" s="4" t="s">
        <v>54</v>
      </c>
      <c r="G1" s="4" t="s">
        <v>546</v>
      </c>
      <c r="H1" s="4" t="s">
        <v>55</v>
      </c>
      <c r="I1" s="4" t="s">
        <v>546</v>
      </c>
      <c r="J1" s="4" t="s">
        <v>56</v>
      </c>
      <c r="K1" s="4" t="s">
        <v>546</v>
      </c>
    </row>
    <row r="2" ht="15" customHeight="1" spans="1:11">
      <c r="A2" s="4">
        <v>1</v>
      </c>
      <c r="B2" s="1" t="s">
        <v>62</v>
      </c>
      <c r="C2" s="1">
        <v>74.5</v>
      </c>
      <c r="D2" s="1" t="s">
        <v>63</v>
      </c>
      <c r="E2" s="1">
        <v>74</v>
      </c>
      <c r="F2" s="1" t="s">
        <v>59</v>
      </c>
      <c r="G2" s="1">
        <v>74</v>
      </c>
      <c r="H2" s="1" t="s">
        <v>65</v>
      </c>
      <c r="I2" s="1">
        <v>74.5</v>
      </c>
      <c r="J2" s="1" t="s">
        <v>87</v>
      </c>
      <c r="K2" s="1">
        <v>73.5</v>
      </c>
    </row>
    <row r="3" ht="15" customHeight="1" spans="1:11">
      <c r="A3" s="4">
        <v>2</v>
      </c>
      <c r="B3" s="1" t="s">
        <v>77</v>
      </c>
      <c r="C3" s="1">
        <v>74</v>
      </c>
      <c r="D3" s="1" t="s">
        <v>78</v>
      </c>
      <c r="E3" s="1">
        <v>74</v>
      </c>
      <c r="F3" s="1" t="s">
        <v>120</v>
      </c>
      <c r="G3" s="1">
        <v>74</v>
      </c>
      <c r="H3" s="1" t="s">
        <v>86</v>
      </c>
      <c r="I3" s="1">
        <v>74</v>
      </c>
      <c r="J3" s="1" t="s">
        <v>167</v>
      </c>
      <c r="K3" s="1">
        <v>72.5</v>
      </c>
    </row>
    <row r="4" ht="15" customHeight="1" spans="1:11">
      <c r="A4" s="4">
        <v>3</v>
      </c>
      <c r="B4" s="1" t="s">
        <v>83</v>
      </c>
      <c r="C4" s="1">
        <v>73</v>
      </c>
      <c r="D4" s="1" t="s">
        <v>58</v>
      </c>
      <c r="E4" s="1">
        <v>72.5</v>
      </c>
      <c r="F4" s="1" t="s">
        <v>64</v>
      </c>
      <c r="G4" s="1">
        <v>73.5</v>
      </c>
      <c r="H4" s="1" t="s">
        <v>60</v>
      </c>
      <c r="I4" s="1">
        <v>73.5</v>
      </c>
      <c r="J4" s="1" t="s">
        <v>61</v>
      </c>
      <c r="K4" s="1">
        <v>71.5</v>
      </c>
    </row>
    <row r="5" ht="15" customHeight="1" spans="1:11">
      <c r="A5" s="4">
        <v>4</v>
      </c>
      <c r="B5" s="1" t="s">
        <v>57</v>
      </c>
      <c r="C5" s="1">
        <v>72.5</v>
      </c>
      <c r="D5" s="1" t="s">
        <v>68</v>
      </c>
      <c r="E5" s="1">
        <v>71.5</v>
      </c>
      <c r="F5" s="1" t="s">
        <v>100</v>
      </c>
      <c r="G5" s="1">
        <v>73</v>
      </c>
      <c r="H5" s="1" t="s">
        <v>70</v>
      </c>
      <c r="I5" s="1">
        <v>73</v>
      </c>
      <c r="J5" s="1" t="s">
        <v>66</v>
      </c>
      <c r="K5" s="1">
        <v>71.5</v>
      </c>
    </row>
    <row r="6" ht="15" customHeight="1" spans="1:11">
      <c r="A6" s="4">
        <v>5</v>
      </c>
      <c r="B6" s="1" t="s">
        <v>128</v>
      </c>
      <c r="C6" s="1">
        <v>72.5</v>
      </c>
      <c r="D6" s="1" t="s">
        <v>104</v>
      </c>
      <c r="E6" s="1">
        <v>70</v>
      </c>
      <c r="F6" s="1" t="s">
        <v>69</v>
      </c>
      <c r="G6" s="1">
        <v>72.5</v>
      </c>
      <c r="H6" s="1" t="s">
        <v>96</v>
      </c>
      <c r="I6" s="1">
        <v>72</v>
      </c>
      <c r="J6" s="1" t="s">
        <v>102</v>
      </c>
      <c r="K6" s="1">
        <v>71.5</v>
      </c>
    </row>
    <row r="7" ht="15" customHeight="1" spans="1:11">
      <c r="A7" s="5" t="s">
        <v>82</v>
      </c>
      <c r="B7" s="6">
        <v>73.3</v>
      </c>
      <c r="C7" s="1"/>
      <c r="D7" s="6">
        <v>72.4</v>
      </c>
      <c r="E7" s="1"/>
      <c r="F7" s="7">
        <v>73.4</v>
      </c>
      <c r="G7" s="1"/>
      <c r="H7" s="6">
        <v>73.4</v>
      </c>
      <c r="I7" s="1"/>
      <c r="J7" s="8">
        <v>72.1</v>
      </c>
      <c r="K7" s="1"/>
    </row>
    <row r="8" ht="15" customHeight="1" spans="1:11">
      <c r="A8" s="4">
        <v>6</v>
      </c>
      <c r="B8" s="1" t="s">
        <v>72</v>
      </c>
      <c r="C8" s="1">
        <v>72</v>
      </c>
      <c r="D8" s="1" t="s">
        <v>114</v>
      </c>
      <c r="E8" s="1">
        <v>70</v>
      </c>
      <c r="F8" s="1" t="s">
        <v>79</v>
      </c>
      <c r="G8" s="1">
        <v>71.5</v>
      </c>
      <c r="H8" s="1" t="s">
        <v>116</v>
      </c>
      <c r="I8" s="1">
        <v>72</v>
      </c>
      <c r="J8" s="1" t="s">
        <v>76</v>
      </c>
      <c r="K8" s="1">
        <v>70.5</v>
      </c>
    </row>
    <row r="9" ht="15" customHeight="1" spans="1:11">
      <c r="A9" s="4">
        <v>7</v>
      </c>
      <c r="B9" s="1" t="s">
        <v>67</v>
      </c>
      <c r="C9" s="1">
        <v>71</v>
      </c>
      <c r="D9" s="1" t="s">
        <v>119</v>
      </c>
      <c r="E9" s="1">
        <v>69.5</v>
      </c>
      <c r="F9" s="1" t="s">
        <v>105</v>
      </c>
      <c r="G9" s="1">
        <v>71.5</v>
      </c>
      <c r="H9" s="1" t="s">
        <v>106</v>
      </c>
      <c r="I9" s="1">
        <v>71.5</v>
      </c>
      <c r="J9" s="1" t="s">
        <v>147</v>
      </c>
      <c r="K9" s="1">
        <v>70.5</v>
      </c>
    </row>
    <row r="10" ht="15" customHeight="1" spans="1:11">
      <c r="A10" s="4">
        <v>8</v>
      </c>
      <c r="B10" s="1" t="s">
        <v>88</v>
      </c>
      <c r="C10" s="1">
        <v>71</v>
      </c>
      <c r="D10" s="1" t="s">
        <v>89</v>
      </c>
      <c r="E10" s="1">
        <v>68.5</v>
      </c>
      <c r="F10" s="1" t="s">
        <v>185</v>
      </c>
      <c r="G10" s="1">
        <v>71.5</v>
      </c>
      <c r="H10" s="1" t="s">
        <v>75</v>
      </c>
      <c r="I10" s="1">
        <v>71</v>
      </c>
      <c r="J10" s="1" t="s">
        <v>71</v>
      </c>
      <c r="K10" s="1">
        <v>70</v>
      </c>
    </row>
    <row r="11" ht="15" customHeight="1" spans="1:11">
      <c r="A11" s="4">
        <v>9</v>
      </c>
      <c r="B11" s="1" t="s">
        <v>118</v>
      </c>
      <c r="C11" s="1">
        <v>70.5</v>
      </c>
      <c r="D11" s="1" t="s">
        <v>73</v>
      </c>
      <c r="E11" s="1">
        <v>68</v>
      </c>
      <c r="F11" s="1" t="s">
        <v>74</v>
      </c>
      <c r="G11" s="1">
        <v>69.5</v>
      </c>
      <c r="H11" s="1" t="s">
        <v>80</v>
      </c>
      <c r="I11" s="1">
        <v>71</v>
      </c>
      <c r="J11" s="1" t="s">
        <v>92</v>
      </c>
      <c r="K11" s="1">
        <v>70</v>
      </c>
    </row>
    <row r="12" ht="15" customHeight="1" spans="1:11">
      <c r="A12" s="4">
        <v>10</v>
      </c>
      <c r="B12" s="1" t="s">
        <v>133</v>
      </c>
      <c r="C12" s="1">
        <v>70.5</v>
      </c>
      <c r="D12" s="1" t="s">
        <v>94</v>
      </c>
      <c r="E12" s="1">
        <v>68</v>
      </c>
      <c r="F12" s="1" t="s">
        <v>165</v>
      </c>
      <c r="G12" s="1">
        <v>69.5</v>
      </c>
      <c r="H12" s="1" t="s">
        <v>91</v>
      </c>
      <c r="I12" s="1">
        <v>71</v>
      </c>
      <c r="J12" s="1" t="s">
        <v>97</v>
      </c>
      <c r="K12" s="1">
        <v>70</v>
      </c>
    </row>
    <row r="13" ht="15" customHeight="1" spans="1:11">
      <c r="A13" s="5" t="s">
        <v>82</v>
      </c>
      <c r="B13" s="6">
        <v>72.15</v>
      </c>
      <c r="C13" s="1"/>
      <c r="D13" s="8">
        <v>70.6</v>
      </c>
      <c r="E13" s="1"/>
      <c r="F13" s="6">
        <v>72.05</v>
      </c>
      <c r="G13" s="1"/>
      <c r="H13" s="7">
        <v>72.35</v>
      </c>
      <c r="I13" s="1"/>
      <c r="J13" s="6">
        <v>71.15</v>
      </c>
      <c r="K13" s="1"/>
    </row>
    <row r="14" ht="15" customHeight="1" spans="1:11">
      <c r="A14" s="4">
        <v>11</v>
      </c>
      <c r="B14" s="1" t="s">
        <v>93</v>
      </c>
      <c r="C14" s="1">
        <v>69.5</v>
      </c>
      <c r="D14" s="1" t="s">
        <v>134</v>
      </c>
      <c r="E14" s="1">
        <v>68</v>
      </c>
      <c r="F14" s="1" t="s">
        <v>85</v>
      </c>
      <c r="G14" s="1">
        <v>69</v>
      </c>
      <c r="H14" s="1" t="s">
        <v>121</v>
      </c>
      <c r="I14" s="1">
        <v>71</v>
      </c>
      <c r="J14" s="1" t="s">
        <v>81</v>
      </c>
      <c r="K14" s="1">
        <v>68.5</v>
      </c>
    </row>
    <row r="15" ht="15" customHeight="1" spans="1:11">
      <c r="A15" s="4">
        <v>12</v>
      </c>
      <c r="B15" s="1" t="s">
        <v>158</v>
      </c>
      <c r="C15" s="1">
        <v>69</v>
      </c>
      <c r="D15" s="1" t="s">
        <v>139</v>
      </c>
      <c r="E15" s="1">
        <v>68</v>
      </c>
      <c r="F15" s="1" t="s">
        <v>95</v>
      </c>
      <c r="G15" s="1">
        <v>69</v>
      </c>
      <c r="H15" s="1" t="s">
        <v>126</v>
      </c>
      <c r="I15" s="1">
        <v>71</v>
      </c>
      <c r="J15" s="1" t="s">
        <v>137</v>
      </c>
      <c r="K15" s="1">
        <v>68.5</v>
      </c>
    </row>
    <row r="16" ht="15" customHeight="1" spans="1:11">
      <c r="A16" s="4">
        <v>13</v>
      </c>
      <c r="B16" s="1" t="s">
        <v>113</v>
      </c>
      <c r="C16" s="1">
        <v>66.5</v>
      </c>
      <c r="D16" s="1" t="s">
        <v>84</v>
      </c>
      <c r="E16" s="1">
        <v>67.5</v>
      </c>
      <c r="F16" s="1" t="s">
        <v>115</v>
      </c>
      <c r="G16" s="1">
        <v>68.5</v>
      </c>
      <c r="H16" s="1" t="s">
        <v>136</v>
      </c>
      <c r="I16" s="1">
        <v>71</v>
      </c>
      <c r="J16" s="1" t="s">
        <v>142</v>
      </c>
      <c r="K16" s="1">
        <v>68.5</v>
      </c>
    </row>
    <row r="17" ht="15" customHeight="1" spans="1:11">
      <c r="A17" s="4">
        <v>14</v>
      </c>
      <c r="B17" s="1" t="s">
        <v>123</v>
      </c>
      <c r="C17" s="1">
        <v>66.5</v>
      </c>
      <c r="D17" s="1" t="s">
        <v>109</v>
      </c>
      <c r="E17" s="1">
        <v>67.5</v>
      </c>
      <c r="F17" s="1" t="s">
        <v>125</v>
      </c>
      <c r="G17" s="1">
        <v>67.5</v>
      </c>
      <c r="H17" s="1" t="s">
        <v>101</v>
      </c>
      <c r="I17" s="1">
        <v>69.5</v>
      </c>
      <c r="J17" s="1" t="s">
        <v>112</v>
      </c>
      <c r="K17" s="1">
        <v>68</v>
      </c>
    </row>
    <row r="18" ht="15" customHeight="1" spans="1:11">
      <c r="A18" s="4">
        <v>15</v>
      </c>
      <c r="B18" s="1" t="s">
        <v>143</v>
      </c>
      <c r="C18" s="1">
        <v>66.5</v>
      </c>
      <c r="D18" s="1" t="s">
        <v>144</v>
      </c>
      <c r="E18" s="1">
        <v>67</v>
      </c>
      <c r="F18" s="1" t="s">
        <v>145</v>
      </c>
      <c r="G18" s="1">
        <v>66.5</v>
      </c>
      <c r="H18" s="1" t="s">
        <v>131</v>
      </c>
      <c r="I18" s="1">
        <v>69.5</v>
      </c>
      <c r="J18" s="1" t="s">
        <v>117</v>
      </c>
      <c r="K18" s="1">
        <v>68</v>
      </c>
    </row>
    <row r="19" ht="15" customHeight="1" spans="1:11">
      <c r="A19" s="5" t="s">
        <v>82</v>
      </c>
      <c r="B19" s="6">
        <v>70.6333333333333</v>
      </c>
      <c r="C19" s="1"/>
      <c r="D19" s="8">
        <v>69.6</v>
      </c>
      <c r="E19" s="1"/>
      <c r="F19" s="6">
        <v>70.7333333333333</v>
      </c>
      <c r="G19" s="1"/>
      <c r="H19" s="7">
        <v>71.7</v>
      </c>
      <c r="I19" s="1"/>
      <c r="J19" s="6">
        <v>70.2</v>
      </c>
      <c r="K19" s="1"/>
    </row>
    <row r="20" ht="15" customHeight="1" spans="1:11">
      <c r="A20" s="4">
        <v>16</v>
      </c>
      <c r="B20" s="1" t="s">
        <v>168</v>
      </c>
      <c r="C20" s="1">
        <v>66</v>
      </c>
      <c r="D20" s="1" t="s">
        <v>99</v>
      </c>
      <c r="E20" s="1">
        <v>65</v>
      </c>
      <c r="F20" s="1" t="s">
        <v>160</v>
      </c>
      <c r="G20" s="1">
        <v>66</v>
      </c>
      <c r="H20" s="1" t="s">
        <v>161</v>
      </c>
      <c r="I20" s="1">
        <v>69.5</v>
      </c>
      <c r="J20" s="1" t="s">
        <v>222</v>
      </c>
      <c r="K20" s="1">
        <v>67.5</v>
      </c>
    </row>
    <row r="21" ht="15" customHeight="1" spans="1:11">
      <c r="A21" s="4">
        <v>17</v>
      </c>
      <c r="B21" s="1" t="s">
        <v>103</v>
      </c>
      <c r="C21" s="1">
        <v>65.5</v>
      </c>
      <c r="D21" s="1" t="s">
        <v>164</v>
      </c>
      <c r="E21" s="1">
        <v>64</v>
      </c>
      <c r="F21" s="1" t="s">
        <v>170</v>
      </c>
      <c r="G21" s="1">
        <v>66</v>
      </c>
      <c r="H21" s="1" t="s">
        <v>166</v>
      </c>
      <c r="I21" s="1">
        <v>69.5</v>
      </c>
      <c r="J21" s="1" t="s">
        <v>127</v>
      </c>
      <c r="K21" s="1">
        <v>67</v>
      </c>
    </row>
    <row r="22" ht="15" customHeight="1" spans="1:11">
      <c r="A22" s="4">
        <v>18</v>
      </c>
      <c r="B22" s="1" t="s">
        <v>163</v>
      </c>
      <c r="C22" s="1">
        <v>65</v>
      </c>
      <c r="D22" s="1" t="s">
        <v>129</v>
      </c>
      <c r="E22" s="1">
        <v>63</v>
      </c>
      <c r="F22" s="1" t="s">
        <v>110</v>
      </c>
      <c r="G22" s="1">
        <v>65.5</v>
      </c>
      <c r="H22" s="1" t="s">
        <v>206</v>
      </c>
      <c r="I22" s="1">
        <v>69.5</v>
      </c>
      <c r="J22" s="1" t="s">
        <v>107</v>
      </c>
      <c r="K22" s="1">
        <v>66.5</v>
      </c>
    </row>
    <row r="23" ht="15" customHeight="1" spans="1:11">
      <c r="A23" s="4">
        <v>19</v>
      </c>
      <c r="B23" s="1" t="s">
        <v>108</v>
      </c>
      <c r="C23" s="1">
        <v>64.5</v>
      </c>
      <c r="D23" s="1" t="s">
        <v>149</v>
      </c>
      <c r="E23" s="1">
        <v>63</v>
      </c>
      <c r="F23" s="1" t="s">
        <v>150</v>
      </c>
      <c r="G23" s="1">
        <v>65.5</v>
      </c>
      <c r="H23" s="1" t="s">
        <v>171</v>
      </c>
      <c r="I23" s="1">
        <v>69</v>
      </c>
      <c r="J23" s="1" t="s">
        <v>122</v>
      </c>
      <c r="K23" s="1">
        <v>66.5</v>
      </c>
    </row>
    <row r="24" ht="15" customHeight="1" spans="1:11">
      <c r="A24" s="4">
        <v>20</v>
      </c>
      <c r="B24" s="1" t="s">
        <v>148</v>
      </c>
      <c r="C24" s="1">
        <v>63.5</v>
      </c>
      <c r="D24" s="1" t="s">
        <v>124</v>
      </c>
      <c r="E24" s="1">
        <v>61.5</v>
      </c>
      <c r="F24" s="1" t="s">
        <v>180</v>
      </c>
      <c r="G24" s="1">
        <v>64.5</v>
      </c>
      <c r="H24" s="1" t="s">
        <v>191</v>
      </c>
      <c r="I24" s="1">
        <v>67</v>
      </c>
      <c r="J24" s="1" t="s">
        <v>152</v>
      </c>
      <c r="K24" s="1">
        <v>66.5</v>
      </c>
    </row>
    <row r="25" ht="15" customHeight="1" spans="1:11">
      <c r="A25" s="5" t="s">
        <v>82</v>
      </c>
      <c r="B25" s="6">
        <v>69.2</v>
      </c>
      <c r="C25" s="1"/>
      <c r="D25" s="8">
        <v>68.025</v>
      </c>
      <c r="E25" s="1"/>
      <c r="F25" s="6">
        <v>69.425</v>
      </c>
      <c r="G25" s="1"/>
      <c r="H25" s="7">
        <v>71</v>
      </c>
      <c r="I25" s="1"/>
      <c r="J25" s="6">
        <v>69.35</v>
      </c>
      <c r="K25" s="1"/>
    </row>
    <row r="26" ht="15" customHeight="1" spans="1:11">
      <c r="A26" s="4">
        <v>21</v>
      </c>
      <c r="B26" s="1" t="s">
        <v>138</v>
      </c>
      <c r="C26" s="1">
        <v>63</v>
      </c>
      <c r="D26" s="1" t="s">
        <v>184</v>
      </c>
      <c r="E26" s="1">
        <v>61</v>
      </c>
      <c r="F26" s="1" t="s">
        <v>90</v>
      </c>
      <c r="G26" s="1">
        <v>64</v>
      </c>
      <c r="H26" s="1" t="s">
        <v>146</v>
      </c>
      <c r="I26" s="1">
        <v>66.5</v>
      </c>
      <c r="J26" s="1" t="s">
        <v>162</v>
      </c>
      <c r="K26" s="1">
        <v>66.5</v>
      </c>
    </row>
    <row r="27" ht="15" customHeight="1" spans="1:11">
      <c r="A27" s="4">
        <v>22</v>
      </c>
      <c r="B27" s="1" t="s">
        <v>173</v>
      </c>
      <c r="C27" s="1">
        <v>63</v>
      </c>
      <c r="D27" s="1" t="s">
        <v>209</v>
      </c>
      <c r="E27" s="1">
        <v>61</v>
      </c>
      <c r="F27" s="1" t="s">
        <v>175</v>
      </c>
      <c r="G27" s="1">
        <v>64</v>
      </c>
      <c r="H27" s="1" t="s">
        <v>151</v>
      </c>
      <c r="I27" s="1">
        <v>66.5</v>
      </c>
      <c r="J27" s="1" t="s">
        <v>212</v>
      </c>
      <c r="K27" s="1">
        <v>66</v>
      </c>
    </row>
    <row r="28" ht="15" customHeight="1" spans="1:11">
      <c r="A28" s="4">
        <v>23</v>
      </c>
      <c r="B28" s="1" t="s">
        <v>178</v>
      </c>
      <c r="C28" s="1">
        <v>63</v>
      </c>
      <c r="D28" s="1" t="s">
        <v>154</v>
      </c>
      <c r="E28" s="1">
        <v>60</v>
      </c>
      <c r="F28" s="1" t="s">
        <v>155</v>
      </c>
      <c r="G28" s="1">
        <v>62</v>
      </c>
      <c r="H28" s="1" t="s">
        <v>111</v>
      </c>
      <c r="I28" s="1">
        <v>66</v>
      </c>
      <c r="J28" s="1" t="s">
        <v>177</v>
      </c>
      <c r="K28" s="1">
        <v>65.5</v>
      </c>
    </row>
    <row r="29" ht="15" customHeight="1" spans="1:11">
      <c r="A29" s="4">
        <v>24</v>
      </c>
      <c r="B29" s="1" t="s">
        <v>98</v>
      </c>
      <c r="C29" s="1">
        <v>62.5</v>
      </c>
      <c r="D29" s="1" t="s">
        <v>159</v>
      </c>
      <c r="E29" s="1">
        <v>58</v>
      </c>
      <c r="F29" s="1" t="s">
        <v>130</v>
      </c>
      <c r="G29" s="1">
        <v>61.5</v>
      </c>
      <c r="H29" s="1" t="s">
        <v>181</v>
      </c>
      <c r="I29" s="1">
        <v>65.5</v>
      </c>
      <c r="J29" s="1" t="s">
        <v>157</v>
      </c>
      <c r="K29" s="1">
        <v>63</v>
      </c>
    </row>
    <row r="30" ht="15" customHeight="1" spans="1:11">
      <c r="A30" s="4">
        <v>25</v>
      </c>
      <c r="B30" s="1" t="s">
        <v>153</v>
      </c>
      <c r="C30" s="1">
        <v>61.5</v>
      </c>
      <c r="D30" s="1" t="s">
        <v>174</v>
      </c>
      <c r="E30" s="1">
        <v>58</v>
      </c>
      <c r="F30" s="1" t="s">
        <v>135</v>
      </c>
      <c r="G30" s="1">
        <v>61.5</v>
      </c>
      <c r="H30" s="1" t="s">
        <v>216</v>
      </c>
      <c r="I30" s="1">
        <v>64</v>
      </c>
      <c r="J30" s="1" t="s">
        <v>182</v>
      </c>
      <c r="K30" s="1">
        <v>63</v>
      </c>
    </row>
    <row r="31" ht="15" customHeight="1" spans="1:11">
      <c r="A31" s="5" t="s">
        <v>82</v>
      </c>
      <c r="B31" s="6">
        <v>67.88</v>
      </c>
      <c r="C31" s="1"/>
      <c r="D31" s="8">
        <v>66.34</v>
      </c>
      <c r="E31" s="1"/>
      <c r="F31" s="6">
        <v>68.06</v>
      </c>
      <c r="G31" s="1"/>
      <c r="H31" s="7">
        <v>69.94</v>
      </c>
      <c r="I31" s="1"/>
      <c r="J31" s="6">
        <v>68.44</v>
      </c>
      <c r="K31" s="1"/>
    </row>
    <row r="32" ht="15" customHeight="1" spans="1:11">
      <c r="A32" s="4">
        <v>26</v>
      </c>
      <c r="B32" s="1" t="s">
        <v>233</v>
      </c>
      <c r="C32" s="1">
        <v>60.5</v>
      </c>
      <c r="D32" s="1" t="s">
        <v>204</v>
      </c>
      <c r="E32" s="1">
        <v>58</v>
      </c>
      <c r="F32" s="1" t="s">
        <v>235</v>
      </c>
      <c r="G32" s="1">
        <v>61.5</v>
      </c>
      <c r="H32" s="1" t="s">
        <v>186</v>
      </c>
      <c r="I32" s="1">
        <v>63.5</v>
      </c>
      <c r="J32" s="1" t="s">
        <v>132</v>
      </c>
      <c r="K32" s="1">
        <v>62</v>
      </c>
    </row>
    <row r="33" ht="15" customHeight="1" spans="1:11">
      <c r="A33" s="4">
        <v>27</v>
      </c>
      <c r="B33" s="1" t="s">
        <v>203</v>
      </c>
      <c r="C33" s="1">
        <v>59.5</v>
      </c>
      <c r="D33" s="1" t="s">
        <v>194</v>
      </c>
      <c r="E33" s="1">
        <v>57.5</v>
      </c>
      <c r="F33" s="1" t="s">
        <v>190</v>
      </c>
      <c r="G33" s="1">
        <v>60.5</v>
      </c>
      <c r="H33" s="1" t="s">
        <v>176</v>
      </c>
      <c r="I33" s="1">
        <v>63</v>
      </c>
      <c r="J33" s="1" t="s">
        <v>172</v>
      </c>
      <c r="K33" s="1">
        <v>61.5</v>
      </c>
    </row>
    <row r="34" ht="15" customHeight="1" spans="1:11">
      <c r="A34" s="4">
        <v>28</v>
      </c>
      <c r="B34" s="1" t="s">
        <v>183</v>
      </c>
      <c r="C34" s="1">
        <v>59</v>
      </c>
      <c r="D34" s="1" t="s">
        <v>189</v>
      </c>
      <c r="E34" s="1">
        <v>54.5</v>
      </c>
      <c r="F34" s="1" t="s">
        <v>195</v>
      </c>
      <c r="G34" s="1">
        <v>60.5</v>
      </c>
      <c r="H34" s="1" t="s">
        <v>141</v>
      </c>
      <c r="I34" s="1">
        <v>62.5</v>
      </c>
      <c r="J34" s="1" t="s">
        <v>192</v>
      </c>
      <c r="K34" s="1">
        <v>61</v>
      </c>
    </row>
    <row r="35" ht="15" customHeight="1" spans="1:11">
      <c r="A35" s="4">
        <v>29</v>
      </c>
      <c r="B35" s="1" t="s">
        <v>193</v>
      </c>
      <c r="C35" s="1">
        <v>59</v>
      </c>
      <c r="D35" s="1" t="s">
        <v>169</v>
      </c>
      <c r="E35" s="1">
        <v>54</v>
      </c>
      <c r="F35" s="1" t="s">
        <v>140</v>
      </c>
      <c r="G35" s="1">
        <v>60</v>
      </c>
      <c r="H35" s="1" t="s">
        <v>156</v>
      </c>
      <c r="I35" s="1">
        <v>62</v>
      </c>
      <c r="J35" s="1" t="s">
        <v>217</v>
      </c>
      <c r="K35" s="1">
        <v>59</v>
      </c>
    </row>
    <row r="36" ht="15" customHeight="1" spans="1:11">
      <c r="A36" s="4">
        <v>30</v>
      </c>
      <c r="B36" s="1" t="s">
        <v>213</v>
      </c>
      <c r="C36" s="1">
        <v>59</v>
      </c>
      <c r="D36" s="1" t="s">
        <v>199</v>
      </c>
      <c r="E36" s="1">
        <v>52</v>
      </c>
      <c r="F36" s="1" t="s">
        <v>205</v>
      </c>
      <c r="G36" s="1">
        <v>55</v>
      </c>
      <c r="H36" s="1" t="s">
        <v>196</v>
      </c>
      <c r="I36" s="1">
        <v>60</v>
      </c>
      <c r="J36" s="1" t="s">
        <v>202</v>
      </c>
      <c r="K36" s="1">
        <v>57</v>
      </c>
    </row>
    <row r="37" ht="15" customHeight="1" spans="1:11">
      <c r="A37" s="5" t="s">
        <v>82</v>
      </c>
      <c r="B37" s="6">
        <v>66.4666666666667</v>
      </c>
      <c r="C37" s="1"/>
      <c r="D37" s="8">
        <v>64.4833333333333</v>
      </c>
      <c r="E37" s="1"/>
      <c r="F37" s="6">
        <v>66.6333333333333</v>
      </c>
      <c r="G37" s="1"/>
      <c r="H37" s="7">
        <v>68.65</v>
      </c>
      <c r="I37" s="1"/>
      <c r="J37" s="6">
        <v>67.05</v>
      </c>
      <c r="K37" s="1"/>
    </row>
    <row r="38" ht="15" customHeight="1" spans="1:11">
      <c r="A38" s="4">
        <v>31</v>
      </c>
      <c r="B38" s="1" t="s">
        <v>198</v>
      </c>
      <c r="C38" s="1">
        <v>57.5</v>
      </c>
      <c r="D38" s="1" t="s">
        <v>179</v>
      </c>
      <c r="E38" s="1">
        <v>51.5</v>
      </c>
      <c r="F38" s="1" t="s">
        <v>215</v>
      </c>
      <c r="G38" s="1">
        <v>55</v>
      </c>
      <c r="H38" s="1" t="s">
        <v>226</v>
      </c>
      <c r="I38" s="1">
        <v>60</v>
      </c>
      <c r="J38" s="1" t="s">
        <v>232</v>
      </c>
      <c r="K38" s="1">
        <v>56</v>
      </c>
    </row>
    <row r="39" ht="15" customHeight="1" spans="1:11">
      <c r="A39" s="4">
        <v>32</v>
      </c>
      <c r="B39" s="1" t="s">
        <v>208</v>
      </c>
      <c r="C39" s="1">
        <v>55</v>
      </c>
      <c r="D39" s="1" t="s">
        <v>214</v>
      </c>
      <c r="E39" s="1">
        <v>51</v>
      </c>
      <c r="F39" s="1" t="s">
        <v>225</v>
      </c>
      <c r="G39" s="1">
        <v>52</v>
      </c>
      <c r="H39" s="1" t="s">
        <v>211</v>
      </c>
      <c r="I39" s="1">
        <v>59.5</v>
      </c>
      <c r="J39" s="1" t="s">
        <v>187</v>
      </c>
      <c r="K39" s="1">
        <v>51.5</v>
      </c>
    </row>
    <row r="40" ht="15" customHeight="1" spans="1:11">
      <c r="A40" s="4">
        <v>33</v>
      </c>
      <c r="B40" s="1" t="s">
        <v>188</v>
      </c>
      <c r="C40" s="1">
        <v>51</v>
      </c>
      <c r="D40" s="1" t="s">
        <v>219</v>
      </c>
      <c r="E40" s="1">
        <v>50</v>
      </c>
      <c r="F40" s="1" t="s">
        <v>245</v>
      </c>
      <c r="G40" s="1">
        <v>50</v>
      </c>
      <c r="H40" s="1" t="s">
        <v>236</v>
      </c>
      <c r="I40" s="1">
        <v>59.5</v>
      </c>
      <c r="J40" s="1" t="s">
        <v>207</v>
      </c>
      <c r="K40" s="1">
        <v>50.5</v>
      </c>
    </row>
    <row r="41" ht="15" customHeight="1" spans="1:11">
      <c r="A41" s="4">
        <v>34</v>
      </c>
      <c r="B41" s="1" t="s">
        <v>223</v>
      </c>
      <c r="C41" s="1">
        <v>47</v>
      </c>
      <c r="D41" s="1" t="s">
        <v>224</v>
      </c>
      <c r="E41" s="1">
        <v>46.5</v>
      </c>
      <c r="F41" s="1" t="s">
        <v>200</v>
      </c>
      <c r="G41" s="1">
        <v>47.5</v>
      </c>
      <c r="H41" s="1" t="s">
        <v>241</v>
      </c>
      <c r="I41" s="1">
        <v>57</v>
      </c>
      <c r="J41" s="1" t="s">
        <v>227</v>
      </c>
      <c r="K41" s="1">
        <v>50.5</v>
      </c>
    </row>
    <row r="42" ht="15" customHeight="1" spans="1:11">
      <c r="A42" s="4">
        <v>35</v>
      </c>
      <c r="B42" s="1" t="s">
        <v>228</v>
      </c>
      <c r="C42" s="1">
        <v>45</v>
      </c>
      <c r="D42" s="1" t="s">
        <v>229</v>
      </c>
      <c r="E42" s="1">
        <v>46</v>
      </c>
      <c r="F42" s="1" t="s">
        <v>210</v>
      </c>
      <c r="G42" s="1">
        <v>46</v>
      </c>
      <c r="H42" s="1" t="s">
        <v>201</v>
      </c>
      <c r="I42" s="1">
        <v>56</v>
      </c>
      <c r="J42" s="1" t="s">
        <v>197</v>
      </c>
      <c r="K42" s="1">
        <v>47.5</v>
      </c>
    </row>
    <row r="43" ht="15" customHeight="1" spans="1:11">
      <c r="A43" s="5" t="s">
        <v>82</v>
      </c>
      <c r="B43" s="6">
        <v>64.2714285714286</v>
      </c>
      <c r="C43" s="1"/>
      <c r="D43" s="8">
        <v>62.2714285714286</v>
      </c>
      <c r="E43" s="1"/>
      <c r="F43" s="6">
        <v>64.2714285714286</v>
      </c>
      <c r="G43" s="1"/>
      <c r="H43" s="7">
        <v>67.1857142857143</v>
      </c>
      <c r="I43" s="1"/>
      <c r="J43" s="6">
        <v>64.7857142857143</v>
      </c>
      <c r="K43" s="1"/>
    </row>
    <row r="44" ht="15" customHeight="1" spans="1:11">
      <c r="A44" s="4">
        <v>36</v>
      </c>
      <c r="B44" s="1" t="s">
        <v>243</v>
      </c>
      <c r="C44" s="1">
        <v>44</v>
      </c>
      <c r="D44" s="1" t="s">
        <v>244</v>
      </c>
      <c r="E44" s="1">
        <v>44</v>
      </c>
      <c r="F44" s="1" t="s">
        <v>240</v>
      </c>
      <c r="G44" s="1">
        <v>43</v>
      </c>
      <c r="H44" s="1" t="s">
        <v>221</v>
      </c>
      <c r="I44" s="1">
        <v>54</v>
      </c>
      <c r="J44" s="1" t="s">
        <v>242</v>
      </c>
      <c r="K44" s="1">
        <v>42</v>
      </c>
    </row>
    <row r="45" ht="15" customHeight="1" spans="1:11">
      <c r="A45" s="4">
        <v>37</v>
      </c>
      <c r="B45" s="1" t="s">
        <v>253</v>
      </c>
      <c r="C45" s="1">
        <v>36</v>
      </c>
      <c r="D45" s="1" t="s">
        <v>234</v>
      </c>
      <c r="E45" s="1">
        <v>40</v>
      </c>
      <c r="F45" s="1" t="s">
        <v>250</v>
      </c>
      <c r="G45" s="1">
        <v>42</v>
      </c>
      <c r="H45" s="1" t="s">
        <v>261</v>
      </c>
      <c r="I45" s="1">
        <v>39</v>
      </c>
      <c r="J45" s="1" t="s">
        <v>237</v>
      </c>
      <c r="K45" s="1">
        <v>40</v>
      </c>
    </row>
    <row r="46" ht="15" customHeight="1" spans="1:11">
      <c r="A46" s="4">
        <v>38</v>
      </c>
      <c r="B46" s="1" t="s">
        <v>218</v>
      </c>
      <c r="C46" s="1">
        <v>35</v>
      </c>
      <c r="D46" s="1" t="s">
        <v>239</v>
      </c>
      <c r="E46" s="1">
        <v>36.5</v>
      </c>
      <c r="F46" s="1" t="s">
        <v>275</v>
      </c>
      <c r="G46" s="1">
        <v>42</v>
      </c>
      <c r="H46" s="1" t="s">
        <v>271</v>
      </c>
      <c r="I46" s="1">
        <v>35.5</v>
      </c>
      <c r="J46" s="1" t="s">
        <v>247</v>
      </c>
      <c r="K46" s="1">
        <v>35</v>
      </c>
    </row>
    <row r="47" ht="15" customHeight="1" spans="1:11">
      <c r="A47" s="4">
        <v>39</v>
      </c>
      <c r="B47" s="1" t="s">
        <v>258</v>
      </c>
      <c r="C47" s="1">
        <v>33.5</v>
      </c>
      <c r="D47" s="1" t="s">
        <v>254</v>
      </c>
      <c r="E47" s="1">
        <v>36.5</v>
      </c>
      <c r="F47" s="1" t="s">
        <v>220</v>
      </c>
      <c r="G47" s="1">
        <v>38.5</v>
      </c>
      <c r="H47" s="1" t="s">
        <v>246</v>
      </c>
      <c r="I47" s="1">
        <v>33.5</v>
      </c>
      <c r="J47" s="1" t="s">
        <v>257</v>
      </c>
      <c r="K47" s="1">
        <v>30</v>
      </c>
    </row>
    <row r="48" ht="15" customHeight="1" spans="1:11">
      <c r="A48" s="4">
        <v>40</v>
      </c>
      <c r="B48" s="1" t="s">
        <v>238</v>
      </c>
      <c r="C48" s="1">
        <v>29</v>
      </c>
      <c r="D48" s="1" t="s">
        <v>269</v>
      </c>
      <c r="E48" s="1">
        <v>24</v>
      </c>
      <c r="F48" s="1" t="s">
        <v>265</v>
      </c>
      <c r="G48" s="1">
        <v>34</v>
      </c>
      <c r="H48" s="1" t="s">
        <v>231</v>
      </c>
      <c r="I48" s="1">
        <v>31</v>
      </c>
      <c r="J48" s="1" t="s">
        <v>277</v>
      </c>
      <c r="K48" s="1">
        <v>27</v>
      </c>
    </row>
    <row r="49" ht="15" customHeight="1" spans="1:11">
      <c r="A49" s="5" t="s">
        <v>82</v>
      </c>
      <c r="B49" s="6">
        <v>60.675</v>
      </c>
      <c r="C49" s="1"/>
      <c r="D49" s="8">
        <v>59.0125</v>
      </c>
      <c r="E49" s="1"/>
      <c r="F49" s="6">
        <v>61.225</v>
      </c>
      <c r="G49" s="1"/>
      <c r="H49" s="7">
        <v>63.6125</v>
      </c>
      <c r="I49" s="1"/>
      <c r="J49" s="6">
        <v>61.0375</v>
      </c>
      <c r="K49" s="1"/>
    </row>
    <row r="50" ht="15" customHeight="1" spans="1:11">
      <c r="A50" s="4">
        <v>41</v>
      </c>
      <c r="B50" s="1" t="s">
        <v>268</v>
      </c>
      <c r="C50" s="1">
        <v>26.5</v>
      </c>
      <c r="D50" s="1" t="s">
        <v>259</v>
      </c>
      <c r="E50" s="1">
        <v>23</v>
      </c>
      <c r="F50" s="1" t="s">
        <v>280</v>
      </c>
      <c r="G50" s="1">
        <v>30.5</v>
      </c>
      <c r="H50" s="1" t="s">
        <v>251</v>
      </c>
      <c r="I50" s="1">
        <v>28</v>
      </c>
      <c r="J50" s="1" t="s">
        <v>252</v>
      </c>
      <c r="K50" s="1">
        <v>26.5</v>
      </c>
    </row>
    <row r="51" ht="15" customHeight="1" spans="1:11">
      <c r="A51" s="4">
        <v>42</v>
      </c>
      <c r="B51" s="1" t="s">
        <v>248</v>
      </c>
      <c r="C51" s="1">
        <v>23</v>
      </c>
      <c r="D51" s="1" t="s">
        <v>264</v>
      </c>
      <c r="E51" s="1">
        <v>22.5</v>
      </c>
      <c r="F51" s="1" t="s">
        <v>284</v>
      </c>
      <c r="G51" s="1">
        <v>30.5</v>
      </c>
      <c r="H51" s="1" t="s">
        <v>256</v>
      </c>
      <c r="I51" s="1">
        <v>27.5</v>
      </c>
      <c r="J51" s="1" t="s">
        <v>262</v>
      </c>
      <c r="K51" s="1">
        <v>19.5</v>
      </c>
    </row>
    <row r="52" ht="15" customHeight="1" spans="1:11">
      <c r="A52" s="4">
        <v>43</v>
      </c>
      <c r="B52" s="1" t="s">
        <v>273</v>
      </c>
      <c r="C52" s="1">
        <v>22.5</v>
      </c>
      <c r="D52" s="1" t="s">
        <v>274</v>
      </c>
      <c r="E52" s="1">
        <v>22</v>
      </c>
      <c r="F52" s="1" t="s">
        <v>260</v>
      </c>
      <c r="G52" s="1">
        <v>29</v>
      </c>
      <c r="H52" s="1" t="s">
        <v>266</v>
      </c>
      <c r="I52" s="1">
        <v>25.5</v>
      </c>
      <c r="J52" s="1" t="s">
        <v>272</v>
      </c>
      <c r="K52" s="1">
        <v>19</v>
      </c>
    </row>
    <row r="53" ht="15" customHeight="1" spans="1:11">
      <c r="A53" s="4">
        <v>44</v>
      </c>
      <c r="B53" s="1" t="s">
        <v>263</v>
      </c>
      <c r="C53" s="1">
        <v>18</v>
      </c>
      <c r="D53" s="1" t="s">
        <v>249</v>
      </c>
      <c r="E53" s="1">
        <v>17.5</v>
      </c>
      <c r="F53" s="1" t="s">
        <v>255</v>
      </c>
      <c r="G53" s="1">
        <v>26</v>
      </c>
      <c r="H53" s="1" t="s">
        <v>276</v>
      </c>
      <c r="I53" s="1">
        <v>19</v>
      </c>
      <c r="J53" s="1" t="s">
        <v>267</v>
      </c>
      <c r="K53" s="1">
        <v>15</v>
      </c>
    </row>
    <row r="54" ht="15" customHeight="1" spans="1:11">
      <c r="A54" s="4">
        <v>45</v>
      </c>
      <c r="B54" s="1" t="s">
        <v>278</v>
      </c>
      <c r="C54" s="1">
        <v>14.5</v>
      </c>
      <c r="D54" s="1" t="s">
        <v>279</v>
      </c>
      <c r="E54" s="1">
        <v>12.5</v>
      </c>
      <c r="F54" s="1" t="s">
        <v>282</v>
      </c>
      <c r="G54" s="1">
        <v>21.5</v>
      </c>
      <c r="H54" s="1" t="s">
        <v>283</v>
      </c>
      <c r="I54" s="1">
        <v>14.5</v>
      </c>
      <c r="J54" s="1"/>
      <c r="K54" s="1"/>
    </row>
    <row r="55" ht="15" customHeight="1" spans="1:11">
      <c r="A55" s="5" t="s">
        <v>82</v>
      </c>
      <c r="B55" s="6">
        <v>56.2555555555556</v>
      </c>
      <c r="C55" s="1"/>
      <c r="D55" s="8">
        <v>54.6222222222222</v>
      </c>
      <c r="E55" s="1"/>
      <c r="F55" s="6">
        <v>57.4777777777778</v>
      </c>
      <c r="G55" s="1"/>
      <c r="H55" s="7">
        <v>59.0888888888889</v>
      </c>
      <c r="I55" s="1"/>
      <c r="J55" s="6">
        <v>57.3068181818182</v>
      </c>
      <c r="K55" s="1"/>
    </row>
    <row r="56" ht="15" customHeight="1" spans="1:11">
      <c r="A56" s="4">
        <v>46</v>
      </c>
      <c r="B56" s="1"/>
      <c r="C56" s="1"/>
      <c r="D56" s="1"/>
      <c r="E56" s="1"/>
      <c r="F56" s="1" t="s">
        <v>270</v>
      </c>
      <c r="G56" s="1">
        <v>20.5</v>
      </c>
      <c r="H56" s="1" t="s">
        <v>281</v>
      </c>
      <c r="I56" s="1">
        <v>10</v>
      </c>
      <c r="J56" s="1"/>
      <c r="K56" s="1"/>
    </row>
    <row r="57" ht="15" customHeight="1" spans="1:11">
      <c r="A57" s="4">
        <v>47</v>
      </c>
      <c r="B57" s="1"/>
      <c r="C57" s="1"/>
      <c r="D57" s="1"/>
      <c r="E57" s="1"/>
      <c r="F57" s="1" t="s">
        <v>230</v>
      </c>
      <c r="G57" s="1">
        <v>18</v>
      </c>
      <c r="H57" s="1"/>
      <c r="I57" s="1"/>
      <c r="J57" s="1"/>
      <c r="K57" s="1"/>
    </row>
    <row r="58" ht="15" customHeight="1" spans="1:11">
      <c r="A58" s="4">
        <v>48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" customHeight="1" spans="1:11">
      <c r="A59" s="4">
        <v>49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" customHeight="1" spans="1:11">
      <c r="A60" s="4">
        <v>50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" customHeight="1" spans="1:11">
      <c r="A61" s="5" t="s">
        <v>82</v>
      </c>
      <c r="B61" s="6">
        <v>56.2555555555556</v>
      </c>
      <c r="C61" s="1"/>
      <c r="D61" s="8">
        <v>54.6222222222222</v>
      </c>
      <c r="E61" s="1"/>
      <c r="F61" s="6">
        <v>55.8510638297872</v>
      </c>
      <c r="G61" s="1"/>
      <c r="H61" s="7">
        <v>58.0217391304348</v>
      </c>
      <c r="I61" s="1"/>
      <c r="J61" s="6">
        <v>57.3068181818182</v>
      </c>
      <c r="K61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showGridLines="0" workbookViewId="0">
      <selection activeCell="R16" sqref="R16"/>
    </sheetView>
  </sheetViews>
  <sheetFormatPr defaultColWidth="9" defaultRowHeight="13.5"/>
  <sheetData>
    <row r="1" ht="15" customHeight="1" spans="1:11">
      <c r="A1" s="4" t="s">
        <v>50</v>
      </c>
      <c r="B1" s="4" t="s">
        <v>51</v>
      </c>
      <c r="C1" s="4" t="s">
        <v>547</v>
      </c>
      <c r="D1" s="4" t="s">
        <v>53</v>
      </c>
      <c r="E1" s="4" t="s">
        <v>547</v>
      </c>
      <c r="F1" s="4" t="s">
        <v>54</v>
      </c>
      <c r="G1" s="4" t="s">
        <v>547</v>
      </c>
      <c r="H1" s="4" t="s">
        <v>55</v>
      </c>
      <c r="I1" s="4" t="s">
        <v>547</v>
      </c>
      <c r="J1" s="4" t="s">
        <v>56</v>
      </c>
      <c r="K1" s="4" t="s">
        <v>547</v>
      </c>
    </row>
    <row r="2" ht="15" customHeight="1" spans="1:11">
      <c r="A2" s="4">
        <v>1</v>
      </c>
      <c r="B2" s="1" t="s">
        <v>62</v>
      </c>
      <c r="C2" s="1">
        <v>24.3</v>
      </c>
      <c r="D2" s="1" t="s">
        <v>63</v>
      </c>
      <c r="E2" s="1">
        <v>24.4</v>
      </c>
      <c r="F2" s="1" t="s">
        <v>79</v>
      </c>
      <c r="G2" s="1">
        <v>24.3</v>
      </c>
      <c r="H2" s="1" t="s">
        <v>70</v>
      </c>
      <c r="I2" s="1">
        <v>24.5</v>
      </c>
      <c r="J2" s="1" t="s">
        <v>66</v>
      </c>
      <c r="K2" s="1">
        <v>24.1</v>
      </c>
    </row>
    <row r="3" ht="15" customHeight="1" spans="1:11">
      <c r="A3" s="4">
        <v>2</v>
      </c>
      <c r="B3" s="1" t="s">
        <v>108</v>
      </c>
      <c r="C3" s="1">
        <v>24.1</v>
      </c>
      <c r="D3" s="1" t="s">
        <v>94</v>
      </c>
      <c r="E3" s="1">
        <v>24.3</v>
      </c>
      <c r="F3" s="1" t="s">
        <v>64</v>
      </c>
      <c r="G3" s="1">
        <v>24.2</v>
      </c>
      <c r="H3" s="1" t="s">
        <v>75</v>
      </c>
      <c r="I3" s="1">
        <v>24.3</v>
      </c>
      <c r="J3" s="1" t="s">
        <v>71</v>
      </c>
      <c r="K3" s="1">
        <v>24.1</v>
      </c>
    </row>
    <row r="4" ht="15" customHeight="1" spans="1:11">
      <c r="A4" s="4">
        <v>3</v>
      </c>
      <c r="B4" s="1" t="s">
        <v>57</v>
      </c>
      <c r="C4" s="1">
        <v>24</v>
      </c>
      <c r="D4" s="1" t="s">
        <v>73</v>
      </c>
      <c r="E4" s="1">
        <v>24.1</v>
      </c>
      <c r="F4" s="1" t="s">
        <v>74</v>
      </c>
      <c r="G4" s="1">
        <v>24.2</v>
      </c>
      <c r="H4" s="1" t="s">
        <v>91</v>
      </c>
      <c r="I4" s="1">
        <v>24.3</v>
      </c>
      <c r="J4" s="1" t="s">
        <v>76</v>
      </c>
      <c r="K4" s="1">
        <v>24</v>
      </c>
    </row>
    <row r="5" ht="15" customHeight="1" spans="1:11">
      <c r="A5" s="4">
        <v>4</v>
      </c>
      <c r="B5" s="1" t="s">
        <v>67</v>
      </c>
      <c r="C5" s="1">
        <v>24</v>
      </c>
      <c r="D5" s="1" t="s">
        <v>58</v>
      </c>
      <c r="E5" s="1">
        <v>24</v>
      </c>
      <c r="F5" s="1" t="s">
        <v>120</v>
      </c>
      <c r="G5" s="1">
        <v>24.2</v>
      </c>
      <c r="H5" s="1" t="s">
        <v>96</v>
      </c>
      <c r="I5" s="1">
        <v>24.3</v>
      </c>
      <c r="J5" s="1" t="s">
        <v>97</v>
      </c>
      <c r="K5" s="1">
        <v>23.7</v>
      </c>
    </row>
    <row r="6" ht="15" customHeight="1" spans="1:11">
      <c r="A6" s="4">
        <v>5</v>
      </c>
      <c r="B6" s="1" t="s">
        <v>118</v>
      </c>
      <c r="C6" s="1">
        <v>23.9</v>
      </c>
      <c r="D6" s="1" t="s">
        <v>114</v>
      </c>
      <c r="E6" s="1">
        <v>23.9</v>
      </c>
      <c r="F6" s="1" t="s">
        <v>69</v>
      </c>
      <c r="G6" s="1">
        <v>24</v>
      </c>
      <c r="H6" s="1" t="s">
        <v>141</v>
      </c>
      <c r="I6" s="1">
        <v>24</v>
      </c>
      <c r="J6" s="1" t="s">
        <v>167</v>
      </c>
      <c r="K6" s="1">
        <v>23.7</v>
      </c>
    </row>
    <row r="7" ht="15" customHeight="1" spans="1:11">
      <c r="A7" s="5" t="s">
        <v>82</v>
      </c>
      <c r="B7" s="6">
        <v>24.06</v>
      </c>
      <c r="C7" s="1"/>
      <c r="D7" s="6">
        <v>24.14</v>
      </c>
      <c r="E7" s="1"/>
      <c r="F7" s="6">
        <v>24.18</v>
      </c>
      <c r="G7" s="1"/>
      <c r="H7" s="7">
        <v>24.28</v>
      </c>
      <c r="I7" s="1"/>
      <c r="J7" s="8">
        <v>23.92</v>
      </c>
      <c r="K7" s="1"/>
    </row>
    <row r="8" ht="15" customHeight="1" spans="1:11">
      <c r="A8" s="4">
        <v>6</v>
      </c>
      <c r="B8" s="1" t="s">
        <v>77</v>
      </c>
      <c r="C8" s="1">
        <v>23.7</v>
      </c>
      <c r="D8" s="1" t="s">
        <v>119</v>
      </c>
      <c r="E8" s="1">
        <v>23.5</v>
      </c>
      <c r="F8" s="1" t="s">
        <v>100</v>
      </c>
      <c r="G8" s="1">
        <v>23.9</v>
      </c>
      <c r="H8" s="1" t="s">
        <v>116</v>
      </c>
      <c r="I8" s="1">
        <v>23.9</v>
      </c>
      <c r="J8" s="1" t="s">
        <v>61</v>
      </c>
      <c r="K8" s="1">
        <v>23.6</v>
      </c>
    </row>
    <row r="9" ht="15" customHeight="1" spans="1:11">
      <c r="A9" s="4">
        <v>7</v>
      </c>
      <c r="B9" s="1" t="s">
        <v>133</v>
      </c>
      <c r="C9" s="1">
        <v>23.6</v>
      </c>
      <c r="D9" s="1" t="s">
        <v>78</v>
      </c>
      <c r="E9" s="1">
        <v>23.4</v>
      </c>
      <c r="F9" s="1" t="s">
        <v>185</v>
      </c>
      <c r="G9" s="1">
        <v>23.9</v>
      </c>
      <c r="H9" s="1" t="s">
        <v>121</v>
      </c>
      <c r="I9" s="1">
        <v>23.8</v>
      </c>
      <c r="J9" s="1" t="s">
        <v>122</v>
      </c>
      <c r="K9" s="1">
        <v>23.5</v>
      </c>
    </row>
    <row r="10" ht="15" customHeight="1" spans="1:11">
      <c r="A10" s="4">
        <v>8</v>
      </c>
      <c r="B10" s="1" t="s">
        <v>72</v>
      </c>
      <c r="C10" s="1">
        <v>23.3</v>
      </c>
      <c r="D10" s="1" t="s">
        <v>139</v>
      </c>
      <c r="E10" s="1">
        <v>23.4</v>
      </c>
      <c r="F10" s="1" t="s">
        <v>59</v>
      </c>
      <c r="G10" s="1">
        <v>23.7</v>
      </c>
      <c r="H10" s="1" t="s">
        <v>186</v>
      </c>
      <c r="I10" s="1">
        <v>23.7</v>
      </c>
      <c r="J10" s="1" t="s">
        <v>81</v>
      </c>
      <c r="K10" s="1">
        <v>23.4</v>
      </c>
    </row>
    <row r="11" ht="15" customHeight="1" spans="1:11">
      <c r="A11" s="4">
        <v>9</v>
      </c>
      <c r="B11" s="1" t="s">
        <v>128</v>
      </c>
      <c r="C11" s="1">
        <v>23.2</v>
      </c>
      <c r="D11" s="1" t="s">
        <v>99</v>
      </c>
      <c r="E11" s="1">
        <v>23.3</v>
      </c>
      <c r="F11" s="1" t="s">
        <v>90</v>
      </c>
      <c r="G11" s="1">
        <v>23.6</v>
      </c>
      <c r="H11" s="1" t="s">
        <v>146</v>
      </c>
      <c r="I11" s="1">
        <v>23.6</v>
      </c>
      <c r="J11" s="1" t="s">
        <v>147</v>
      </c>
      <c r="K11" s="1">
        <v>23.3</v>
      </c>
    </row>
    <row r="12" ht="15" customHeight="1" spans="1:11">
      <c r="A12" s="4">
        <v>10</v>
      </c>
      <c r="B12" s="1" t="s">
        <v>83</v>
      </c>
      <c r="C12" s="1">
        <v>23.1</v>
      </c>
      <c r="D12" s="1" t="s">
        <v>68</v>
      </c>
      <c r="E12" s="1">
        <v>23.2</v>
      </c>
      <c r="F12" s="1" t="s">
        <v>105</v>
      </c>
      <c r="G12" s="1">
        <v>23.6</v>
      </c>
      <c r="H12" s="1" t="s">
        <v>60</v>
      </c>
      <c r="I12" s="1">
        <v>23.5</v>
      </c>
      <c r="J12" s="1" t="s">
        <v>127</v>
      </c>
      <c r="K12" s="1">
        <v>23.1</v>
      </c>
    </row>
    <row r="13" ht="15" customHeight="1" spans="1:11">
      <c r="A13" s="5" t="s">
        <v>82</v>
      </c>
      <c r="B13" s="6">
        <v>23.72</v>
      </c>
      <c r="C13" s="1"/>
      <c r="D13" s="6">
        <v>23.75</v>
      </c>
      <c r="E13" s="1"/>
      <c r="F13" s="6">
        <v>23.96</v>
      </c>
      <c r="G13" s="1"/>
      <c r="H13" s="7">
        <v>23.99</v>
      </c>
      <c r="I13" s="1"/>
      <c r="J13" s="8">
        <v>23.65</v>
      </c>
      <c r="K13" s="1"/>
    </row>
    <row r="14" ht="15" customHeight="1" spans="1:11">
      <c r="A14" s="4">
        <v>11</v>
      </c>
      <c r="B14" s="1" t="s">
        <v>143</v>
      </c>
      <c r="C14" s="1">
        <v>23</v>
      </c>
      <c r="D14" s="1" t="s">
        <v>84</v>
      </c>
      <c r="E14" s="1">
        <v>23.2</v>
      </c>
      <c r="F14" s="1" t="s">
        <v>115</v>
      </c>
      <c r="G14" s="1">
        <v>22.9</v>
      </c>
      <c r="H14" s="1" t="s">
        <v>80</v>
      </c>
      <c r="I14" s="1">
        <v>23.4</v>
      </c>
      <c r="J14" s="1" t="s">
        <v>192</v>
      </c>
      <c r="K14" s="1">
        <v>23</v>
      </c>
    </row>
    <row r="15" ht="15" customHeight="1" spans="1:11">
      <c r="A15" s="4">
        <v>12</v>
      </c>
      <c r="B15" s="1" t="s">
        <v>88</v>
      </c>
      <c r="C15" s="1">
        <v>22.8</v>
      </c>
      <c r="D15" s="1" t="s">
        <v>134</v>
      </c>
      <c r="E15" s="1">
        <v>23.1</v>
      </c>
      <c r="F15" s="1" t="s">
        <v>180</v>
      </c>
      <c r="G15" s="1">
        <v>22.9</v>
      </c>
      <c r="H15" s="1" t="s">
        <v>166</v>
      </c>
      <c r="I15" s="1">
        <v>23.4</v>
      </c>
      <c r="J15" s="1" t="s">
        <v>102</v>
      </c>
      <c r="K15" s="1">
        <v>22.9</v>
      </c>
    </row>
    <row r="16" ht="15" customHeight="1" spans="1:11">
      <c r="A16" s="4">
        <v>13</v>
      </c>
      <c r="B16" s="1" t="s">
        <v>163</v>
      </c>
      <c r="C16" s="1">
        <v>22.7</v>
      </c>
      <c r="D16" s="1" t="s">
        <v>124</v>
      </c>
      <c r="E16" s="1">
        <v>23</v>
      </c>
      <c r="F16" s="1" t="s">
        <v>125</v>
      </c>
      <c r="G16" s="1">
        <v>22.8</v>
      </c>
      <c r="H16" s="1" t="s">
        <v>65</v>
      </c>
      <c r="I16" s="1">
        <v>23.2</v>
      </c>
      <c r="J16" s="1" t="s">
        <v>142</v>
      </c>
      <c r="K16" s="1">
        <v>22.9</v>
      </c>
    </row>
    <row r="17" ht="15" customHeight="1" spans="1:11">
      <c r="A17" s="4">
        <v>14</v>
      </c>
      <c r="B17" s="1" t="s">
        <v>103</v>
      </c>
      <c r="C17" s="1">
        <v>22.6</v>
      </c>
      <c r="D17" s="1" t="s">
        <v>109</v>
      </c>
      <c r="E17" s="1">
        <v>22.7</v>
      </c>
      <c r="F17" s="1" t="s">
        <v>155</v>
      </c>
      <c r="G17" s="1">
        <v>22.5</v>
      </c>
      <c r="H17" s="1" t="s">
        <v>86</v>
      </c>
      <c r="I17" s="1">
        <v>23.2</v>
      </c>
      <c r="J17" s="1" t="s">
        <v>162</v>
      </c>
      <c r="K17" s="1">
        <v>22.9</v>
      </c>
    </row>
    <row r="18" ht="15" customHeight="1" spans="1:11">
      <c r="A18" s="4">
        <v>15</v>
      </c>
      <c r="B18" s="1" t="s">
        <v>198</v>
      </c>
      <c r="C18" s="1">
        <v>22.6</v>
      </c>
      <c r="D18" s="1" t="s">
        <v>149</v>
      </c>
      <c r="E18" s="1">
        <v>22.4</v>
      </c>
      <c r="F18" s="1" t="s">
        <v>225</v>
      </c>
      <c r="G18" s="1">
        <v>22.4</v>
      </c>
      <c r="H18" s="1" t="s">
        <v>131</v>
      </c>
      <c r="I18" s="1">
        <v>23.2</v>
      </c>
      <c r="J18" s="1" t="s">
        <v>157</v>
      </c>
      <c r="K18" s="1">
        <v>22.7</v>
      </c>
    </row>
    <row r="19" ht="15" customHeight="1" spans="1:11">
      <c r="A19" s="5" t="s">
        <v>82</v>
      </c>
      <c r="B19" s="8">
        <v>23.3933333333333</v>
      </c>
      <c r="C19" s="1"/>
      <c r="D19" s="6">
        <v>23.46</v>
      </c>
      <c r="E19" s="1"/>
      <c r="F19" s="6">
        <v>23.54</v>
      </c>
      <c r="G19" s="1"/>
      <c r="H19" s="7">
        <v>23.7533333333333</v>
      </c>
      <c r="I19" s="1"/>
      <c r="J19" s="6">
        <v>23.3933333333333</v>
      </c>
      <c r="K19" s="1"/>
    </row>
    <row r="20" ht="15" customHeight="1" spans="1:11">
      <c r="A20" s="4">
        <v>16</v>
      </c>
      <c r="B20" s="1" t="s">
        <v>173</v>
      </c>
      <c r="C20" s="1">
        <v>22.4</v>
      </c>
      <c r="D20" s="1" t="s">
        <v>144</v>
      </c>
      <c r="E20" s="1">
        <v>22.3</v>
      </c>
      <c r="F20" s="1" t="s">
        <v>85</v>
      </c>
      <c r="G20" s="1">
        <v>22.1</v>
      </c>
      <c r="H20" s="1" t="s">
        <v>126</v>
      </c>
      <c r="I20" s="1">
        <v>23.1</v>
      </c>
      <c r="J20" s="1" t="s">
        <v>87</v>
      </c>
      <c r="K20" s="1">
        <v>22.5</v>
      </c>
    </row>
    <row r="21" ht="15" customHeight="1" spans="1:11">
      <c r="A21" s="4">
        <v>17</v>
      </c>
      <c r="B21" s="1" t="s">
        <v>158</v>
      </c>
      <c r="C21" s="1">
        <v>22.3</v>
      </c>
      <c r="D21" s="1" t="s">
        <v>164</v>
      </c>
      <c r="E21" s="1">
        <v>22.2</v>
      </c>
      <c r="F21" s="1" t="s">
        <v>145</v>
      </c>
      <c r="G21" s="1">
        <v>21.8</v>
      </c>
      <c r="H21" s="1" t="s">
        <v>241</v>
      </c>
      <c r="I21" s="1">
        <v>22.9</v>
      </c>
      <c r="J21" s="1" t="s">
        <v>117</v>
      </c>
      <c r="K21" s="1">
        <v>21.9</v>
      </c>
    </row>
    <row r="22" ht="15" customHeight="1" spans="1:11">
      <c r="A22" s="4">
        <v>18</v>
      </c>
      <c r="B22" s="1" t="s">
        <v>193</v>
      </c>
      <c r="C22" s="1">
        <v>22.1</v>
      </c>
      <c r="D22" s="1" t="s">
        <v>104</v>
      </c>
      <c r="E22" s="1">
        <v>22.1</v>
      </c>
      <c r="F22" s="1" t="s">
        <v>110</v>
      </c>
      <c r="G22" s="1">
        <v>21.4</v>
      </c>
      <c r="H22" s="1" t="s">
        <v>101</v>
      </c>
      <c r="I22" s="1">
        <v>22.7</v>
      </c>
      <c r="J22" s="1" t="s">
        <v>137</v>
      </c>
      <c r="K22" s="1">
        <v>21.9</v>
      </c>
    </row>
    <row r="23" ht="15" customHeight="1" spans="1:11">
      <c r="A23" s="4">
        <v>19</v>
      </c>
      <c r="B23" s="1" t="s">
        <v>93</v>
      </c>
      <c r="C23" s="1">
        <v>22</v>
      </c>
      <c r="D23" s="1" t="s">
        <v>129</v>
      </c>
      <c r="E23" s="1">
        <v>21.8</v>
      </c>
      <c r="F23" s="1" t="s">
        <v>140</v>
      </c>
      <c r="G23" s="1">
        <v>21.4</v>
      </c>
      <c r="H23" s="1" t="s">
        <v>171</v>
      </c>
      <c r="I23" s="1">
        <v>22.7</v>
      </c>
      <c r="J23" s="1" t="s">
        <v>212</v>
      </c>
      <c r="K23" s="1">
        <v>21.8</v>
      </c>
    </row>
    <row r="24" ht="15" customHeight="1" spans="1:11">
      <c r="A24" s="4">
        <v>20</v>
      </c>
      <c r="B24" s="1" t="s">
        <v>178</v>
      </c>
      <c r="C24" s="1">
        <v>21.9</v>
      </c>
      <c r="D24" s="1" t="s">
        <v>209</v>
      </c>
      <c r="E24" s="1">
        <v>21.7</v>
      </c>
      <c r="F24" s="1" t="s">
        <v>235</v>
      </c>
      <c r="G24" s="1">
        <v>21.4</v>
      </c>
      <c r="H24" s="1" t="s">
        <v>191</v>
      </c>
      <c r="I24" s="1">
        <v>22.7</v>
      </c>
      <c r="J24" s="1" t="s">
        <v>177</v>
      </c>
      <c r="K24" s="1">
        <v>21.7</v>
      </c>
    </row>
    <row r="25" ht="15" customHeight="1" spans="1:11">
      <c r="A25" s="5" t="s">
        <v>82</v>
      </c>
      <c r="B25" s="6">
        <v>23.08</v>
      </c>
      <c r="C25" s="1"/>
      <c r="D25" s="6">
        <v>23.1</v>
      </c>
      <c r="E25" s="1"/>
      <c r="F25" s="6">
        <v>23.06</v>
      </c>
      <c r="G25" s="1"/>
      <c r="H25" s="7">
        <v>23.52</v>
      </c>
      <c r="I25" s="1"/>
      <c r="J25" s="8">
        <v>23.035</v>
      </c>
      <c r="K25" s="1"/>
    </row>
    <row r="26" ht="15" customHeight="1" spans="1:11">
      <c r="A26" s="4">
        <v>21</v>
      </c>
      <c r="B26" s="1" t="s">
        <v>213</v>
      </c>
      <c r="C26" s="1">
        <v>21.9</v>
      </c>
      <c r="D26" s="1" t="s">
        <v>89</v>
      </c>
      <c r="E26" s="1">
        <v>21.3</v>
      </c>
      <c r="F26" s="1" t="s">
        <v>160</v>
      </c>
      <c r="G26" s="1">
        <v>21.3</v>
      </c>
      <c r="H26" s="1" t="s">
        <v>196</v>
      </c>
      <c r="I26" s="1">
        <v>22.6</v>
      </c>
      <c r="J26" s="1" t="s">
        <v>222</v>
      </c>
      <c r="K26" s="1">
        <v>21.7</v>
      </c>
    </row>
    <row r="27" ht="15" customHeight="1" spans="1:11">
      <c r="A27" s="4">
        <v>22</v>
      </c>
      <c r="B27" s="1" t="s">
        <v>123</v>
      </c>
      <c r="C27" s="1">
        <v>21.8</v>
      </c>
      <c r="D27" s="1" t="s">
        <v>169</v>
      </c>
      <c r="E27" s="1">
        <v>21.2</v>
      </c>
      <c r="F27" s="1" t="s">
        <v>165</v>
      </c>
      <c r="G27" s="1">
        <v>21.3</v>
      </c>
      <c r="H27" s="1" t="s">
        <v>156</v>
      </c>
      <c r="I27" s="1">
        <v>22.1</v>
      </c>
      <c r="J27" s="1" t="s">
        <v>182</v>
      </c>
      <c r="K27" s="1">
        <v>21.2</v>
      </c>
    </row>
    <row r="28" ht="15" customHeight="1" spans="1:11">
      <c r="A28" s="4">
        <v>23</v>
      </c>
      <c r="B28" s="1" t="s">
        <v>168</v>
      </c>
      <c r="C28" s="1">
        <v>21.6</v>
      </c>
      <c r="D28" s="1" t="s">
        <v>189</v>
      </c>
      <c r="E28" s="1">
        <v>21.2</v>
      </c>
      <c r="F28" s="1" t="s">
        <v>95</v>
      </c>
      <c r="G28" s="1">
        <v>21.2</v>
      </c>
      <c r="H28" s="1" t="s">
        <v>176</v>
      </c>
      <c r="I28" s="1">
        <v>22</v>
      </c>
      <c r="J28" s="1" t="s">
        <v>107</v>
      </c>
      <c r="K28" s="1">
        <v>20.9</v>
      </c>
    </row>
    <row r="29" ht="15" customHeight="1" spans="1:11">
      <c r="A29" s="4">
        <v>24</v>
      </c>
      <c r="B29" s="1" t="s">
        <v>183</v>
      </c>
      <c r="C29" s="1">
        <v>21.6</v>
      </c>
      <c r="D29" s="1" t="s">
        <v>184</v>
      </c>
      <c r="E29" s="1">
        <v>21.1</v>
      </c>
      <c r="F29" s="1" t="s">
        <v>175</v>
      </c>
      <c r="G29" s="1">
        <v>20.8</v>
      </c>
      <c r="H29" s="1" t="s">
        <v>181</v>
      </c>
      <c r="I29" s="1">
        <v>22</v>
      </c>
      <c r="J29" s="1" t="s">
        <v>112</v>
      </c>
      <c r="K29" s="1">
        <v>20.9</v>
      </c>
    </row>
    <row r="30" ht="15" customHeight="1" spans="1:11">
      <c r="A30" s="4">
        <v>25</v>
      </c>
      <c r="B30" s="1" t="s">
        <v>98</v>
      </c>
      <c r="C30" s="1">
        <v>21.2</v>
      </c>
      <c r="D30" s="1" t="s">
        <v>199</v>
      </c>
      <c r="E30" s="1">
        <v>20.5</v>
      </c>
      <c r="F30" s="1" t="s">
        <v>195</v>
      </c>
      <c r="G30" s="1">
        <v>20.4</v>
      </c>
      <c r="H30" s="1" t="s">
        <v>206</v>
      </c>
      <c r="I30" s="1">
        <v>21.6</v>
      </c>
      <c r="J30" s="1" t="s">
        <v>152</v>
      </c>
      <c r="K30" s="1">
        <v>20.6</v>
      </c>
    </row>
    <row r="31" ht="15" customHeight="1" spans="1:11">
      <c r="A31" s="5" t="s">
        <v>82</v>
      </c>
      <c r="B31" s="6">
        <v>22.788</v>
      </c>
      <c r="C31" s="1"/>
      <c r="D31" s="6">
        <v>22.692</v>
      </c>
      <c r="E31" s="1"/>
      <c r="F31" s="6">
        <v>22.648</v>
      </c>
      <c r="G31" s="1"/>
      <c r="H31" s="7">
        <v>23.228</v>
      </c>
      <c r="I31" s="1"/>
      <c r="J31" s="8">
        <v>22.64</v>
      </c>
      <c r="K31" s="1"/>
    </row>
    <row r="32" ht="15" customHeight="1" spans="1:11">
      <c r="A32" s="4">
        <v>26</v>
      </c>
      <c r="B32" s="1" t="s">
        <v>208</v>
      </c>
      <c r="C32" s="1">
        <v>20.7</v>
      </c>
      <c r="D32" s="1" t="s">
        <v>194</v>
      </c>
      <c r="E32" s="1">
        <v>20.4</v>
      </c>
      <c r="F32" s="1" t="s">
        <v>250</v>
      </c>
      <c r="G32" s="1">
        <v>20.3</v>
      </c>
      <c r="H32" s="1" t="s">
        <v>226</v>
      </c>
      <c r="I32" s="1">
        <v>21.5</v>
      </c>
      <c r="J32" s="1" t="s">
        <v>132</v>
      </c>
      <c r="K32" s="1">
        <v>20.5</v>
      </c>
    </row>
    <row r="33" ht="15" customHeight="1" spans="1:11">
      <c r="A33" s="4">
        <v>27</v>
      </c>
      <c r="B33" s="1" t="s">
        <v>148</v>
      </c>
      <c r="C33" s="1">
        <v>20.5</v>
      </c>
      <c r="D33" s="1" t="s">
        <v>204</v>
      </c>
      <c r="E33" s="1">
        <v>20.2</v>
      </c>
      <c r="F33" s="1" t="s">
        <v>130</v>
      </c>
      <c r="G33" s="1">
        <v>20.2</v>
      </c>
      <c r="H33" s="1" t="s">
        <v>161</v>
      </c>
      <c r="I33" s="1">
        <v>21.3</v>
      </c>
      <c r="J33" s="1" t="s">
        <v>92</v>
      </c>
      <c r="K33" s="1">
        <v>20.2</v>
      </c>
    </row>
    <row r="34" ht="15" customHeight="1" spans="1:11">
      <c r="A34" s="4">
        <v>28</v>
      </c>
      <c r="B34" s="1" t="s">
        <v>153</v>
      </c>
      <c r="C34" s="1">
        <v>20.5</v>
      </c>
      <c r="D34" s="1" t="s">
        <v>159</v>
      </c>
      <c r="E34" s="1">
        <v>19.9</v>
      </c>
      <c r="F34" s="1" t="s">
        <v>135</v>
      </c>
      <c r="G34" s="1">
        <v>20.2</v>
      </c>
      <c r="H34" s="1" t="s">
        <v>201</v>
      </c>
      <c r="I34" s="1">
        <v>21.2</v>
      </c>
      <c r="J34" s="1" t="s">
        <v>172</v>
      </c>
      <c r="K34" s="1">
        <v>19.9</v>
      </c>
    </row>
    <row r="35" ht="15" customHeight="1" spans="1:11">
      <c r="A35" s="4">
        <v>29</v>
      </c>
      <c r="B35" s="1" t="s">
        <v>203</v>
      </c>
      <c r="C35" s="1">
        <v>20.5</v>
      </c>
      <c r="D35" s="1" t="s">
        <v>264</v>
      </c>
      <c r="E35" s="1">
        <v>18.7</v>
      </c>
      <c r="F35" s="1" t="s">
        <v>190</v>
      </c>
      <c r="G35" s="1">
        <v>20.2</v>
      </c>
      <c r="H35" s="1" t="s">
        <v>106</v>
      </c>
      <c r="I35" s="1">
        <v>21</v>
      </c>
      <c r="J35" s="1" t="s">
        <v>197</v>
      </c>
      <c r="K35" s="1">
        <v>19.4</v>
      </c>
    </row>
    <row r="36" ht="15" customHeight="1" spans="1:11">
      <c r="A36" s="4">
        <v>30</v>
      </c>
      <c r="B36" s="1" t="s">
        <v>233</v>
      </c>
      <c r="C36" s="1">
        <v>20.3</v>
      </c>
      <c r="D36" s="1" t="s">
        <v>229</v>
      </c>
      <c r="E36" s="1">
        <v>18.3</v>
      </c>
      <c r="F36" s="1" t="s">
        <v>150</v>
      </c>
      <c r="G36" s="1">
        <v>20</v>
      </c>
      <c r="H36" s="1" t="s">
        <v>151</v>
      </c>
      <c r="I36" s="1">
        <v>20.9</v>
      </c>
      <c r="J36" s="1" t="s">
        <v>232</v>
      </c>
      <c r="K36" s="1">
        <v>19.4</v>
      </c>
    </row>
    <row r="37" ht="15" customHeight="1" spans="1:11">
      <c r="A37" s="5" t="s">
        <v>82</v>
      </c>
      <c r="B37" s="6">
        <v>22.4066666666667</v>
      </c>
      <c r="C37" s="1"/>
      <c r="D37" s="8">
        <v>22.16</v>
      </c>
      <c r="E37" s="1"/>
      <c r="F37" s="6">
        <v>22.2366666666667</v>
      </c>
      <c r="G37" s="1"/>
      <c r="H37" s="7">
        <v>22.8866666666667</v>
      </c>
      <c r="I37" s="1"/>
      <c r="J37" s="6">
        <v>22.18</v>
      </c>
      <c r="K37" s="1"/>
    </row>
    <row r="38" ht="15" customHeight="1" spans="1:11">
      <c r="A38" s="4">
        <v>31</v>
      </c>
      <c r="B38" s="1" t="s">
        <v>188</v>
      </c>
      <c r="C38" s="1">
        <v>19.6</v>
      </c>
      <c r="D38" s="1" t="s">
        <v>214</v>
      </c>
      <c r="E38" s="1">
        <v>17.8</v>
      </c>
      <c r="F38" s="1" t="s">
        <v>240</v>
      </c>
      <c r="G38" s="1">
        <v>19.8</v>
      </c>
      <c r="H38" s="1" t="s">
        <v>211</v>
      </c>
      <c r="I38" s="1">
        <v>20.9</v>
      </c>
      <c r="J38" s="1" t="s">
        <v>187</v>
      </c>
      <c r="K38" s="1">
        <v>19.3</v>
      </c>
    </row>
    <row r="39" ht="15" customHeight="1" spans="1:11">
      <c r="A39" s="4">
        <v>32</v>
      </c>
      <c r="B39" s="1" t="s">
        <v>138</v>
      </c>
      <c r="C39" s="1">
        <v>19.3</v>
      </c>
      <c r="D39" s="1" t="s">
        <v>224</v>
      </c>
      <c r="E39" s="1">
        <v>17.6</v>
      </c>
      <c r="F39" s="1" t="s">
        <v>200</v>
      </c>
      <c r="G39" s="1">
        <v>19.7</v>
      </c>
      <c r="H39" s="1" t="s">
        <v>271</v>
      </c>
      <c r="I39" s="1">
        <v>20.9</v>
      </c>
      <c r="J39" s="1" t="s">
        <v>217</v>
      </c>
      <c r="K39" s="1">
        <v>19.3</v>
      </c>
    </row>
    <row r="40" ht="15" customHeight="1" spans="1:11">
      <c r="A40" s="4">
        <v>33</v>
      </c>
      <c r="B40" s="1" t="s">
        <v>228</v>
      </c>
      <c r="C40" s="1">
        <v>18.4</v>
      </c>
      <c r="D40" s="1" t="s">
        <v>234</v>
      </c>
      <c r="E40" s="1">
        <v>17.4</v>
      </c>
      <c r="F40" s="1" t="s">
        <v>205</v>
      </c>
      <c r="G40" s="1">
        <v>19.4</v>
      </c>
      <c r="H40" s="1" t="s">
        <v>136</v>
      </c>
      <c r="I40" s="1">
        <v>20.5</v>
      </c>
      <c r="J40" s="1" t="s">
        <v>207</v>
      </c>
      <c r="K40" s="1">
        <v>17.5</v>
      </c>
    </row>
    <row r="41" ht="15" customHeight="1" spans="1:11">
      <c r="A41" s="4">
        <v>34</v>
      </c>
      <c r="B41" s="1" t="s">
        <v>113</v>
      </c>
      <c r="C41" s="1">
        <v>18</v>
      </c>
      <c r="D41" s="1" t="s">
        <v>219</v>
      </c>
      <c r="E41" s="1">
        <v>16.6</v>
      </c>
      <c r="F41" s="1" t="s">
        <v>210</v>
      </c>
      <c r="G41" s="1">
        <v>19</v>
      </c>
      <c r="H41" s="1" t="s">
        <v>216</v>
      </c>
      <c r="I41" s="1">
        <v>20.3</v>
      </c>
      <c r="J41" s="1" t="s">
        <v>242</v>
      </c>
      <c r="K41" s="1">
        <v>17.5</v>
      </c>
    </row>
    <row r="42" ht="15" customHeight="1" spans="1:11">
      <c r="A42" s="4">
        <v>35</v>
      </c>
      <c r="B42" s="1" t="s">
        <v>243</v>
      </c>
      <c r="C42" s="1">
        <v>18</v>
      </c>
      <c r="D42" s="1" t="s">
        <v>179</v>
      </c>
      <c r="E42" s="1">
        <v>16</v>
      </c>
      <c r="F42" s="1" t="s">
        <v>245</v>
      </c>
      <c r="G42" s="1">
        <v>18.6</v>
      </c>
      <c r="H42" s="1" t="s">
        <v>236</v>
      </c>
      <c r="I42" s="1">
        <v>19.2</v>
      </c>
      <c r="J42" s="1" t="s">
        <v>227</v>
      </c>
      <c r="K42" s="1">
        <v>16.8</v>
      </c>
    </row>
    <row r="43" ht="15" customHeight="1" spans="1:11">
      <c r="A43" s="5" t="s">
        <v>82</v>
      </c>
      <c r="B43" s="6">
        <v>21.8714285714286</v>
      </c>
      <c r="C43" s="1"/>
      <c r="D43" s="8">
        <v>21.4342857142857</v>
      </c>
      <c r="E43" s="1"/>
      <c r="F43" s="6">
        <v>21.8171428571429</v>
      </c>
      <c r="G43" s="1"/>
      <c r="H43" s="7">
        <v>22.5257142857143</v>
      </c>
      <c r="I43" s="1"/>
      <c r="J43" s="6">
        <v>21.5942857142857</v>
      </c>
      <c r="K43" s="1"/>
    </row>
    <row r="44" ht="15" customHeight="1" spans="1:11">
      <c r="A44" s="4">
        <v>36</v>
      </c>
      <c r="B44" s="1" t="s">
        <v>223</v>
      </c>
      <c r="C44" s="1">
        <v>17.6</v>
      </c>
      <c r="D44" s="1" t="s">
        <v>244</v>
      </c>
      <c r="E44" s="1">
        <v>16</v>
      </c>
      <c r="F44" s="1" t="s">
        <v>170</v>
      </c>
      <c r="G44" s="1">
        <v>18.5</v>
      </c>
      <c r="H44" s="1" t="s">
        <v>111</v>
      </c>
      <c r="I44" s="1">
        <v>19</v>
      </c>
      <c r="J44" s="1" t="s">
        <v>237</v>
      </c>
      <c r="K44" s="1">
        <v>16.3</v>
      </c>
    </row>
    <row r="45" ht="15" customHeight="1" spans="1:11">
      <c r="A45" s="4">
        <v>37</v>
      </c>
      <c r="B45" s="1" t="s">
        <v>238</v>
      </c>
      <c r="C45" s="1">
        <v>17.4</v>
      </c>
      <c r="D45" s="1" t="s">
        <v>174</v>
      </c>
      <c r="E45" s="1">
        <v>15.7</v>
      </c>
      <c r="F45" s="1" t="s">
        <v>265</v>
      </c>
      <c r="G45" s="1">
        <v>18.4</v>
      </c>
      <c r="H45" s="1" t="s">
        <v>231</v>
      </c>
      <c r="I45" s="1">
        <v>16.7</v>
      </c>
      <c r="J45" s="1" t="s">
        <v>257</v>
      </c>
      <c r="K45" s="1">
        <v>14.7</v>
      </c>
    </row>
    <row r="46" ht="15" customHeight="1" spans="1:11">
      <c r="A46" s="4">
        <v>38</v>
      </c>
      <c r="B46" s="1" t="s">
        <v>258</v>
      </c>
      <c r="C46" s="1">
        <v>15.4</v>
      </c>
      <c r="D46" s="1" t="s">
        <v>254</v>
      </c>
      <c r="E46" s="1">
        <v>14.9</v>
      </c>
      <c r="F46" s="1" t="s">
        <v>215</v>
      </c>
      <c r="G46" s="1">
        <v>17.6</v>
      </c>
      <c r="H46" s="1" t="s">
        <v>261</v>
      </c>
      <c r="I46" s="1">
        <v>15.6</v>
      </c>
      <c r="J46" s="1" t="s">
        <v>252</v>
      </c>
      <c r="K46" s="1">
        <v>13.6</v>
      </c>
    </row>
    <row r="47" ht="15" customHeight="1" spans="1:11">
      <c r="A47" s="4">
        <v>39</v>
      </c>
      <c r="B47" s="1" t="s">
        <v>253</v>
      </c>
      <c r="C47" s="1">
        <v>14.4</v>
      </c>
      <c r="D47" s="1" t="s">
        <v>154</v>
      </c>
      <c r="E47" s="1">
        <v>14.3</v>
      </c>
      <c r="F47" s="1" t="s">
        <v>284</v>
      </c>
      <c r="G47" s="1">
        <v>17.6</v>
      </c>
      <c r="H47" s="1" t="s">
        <v>221</v>
      </c>
      <c r="I47" s="1">
        <v>14.9</v>
      </c>
      <c r="J47" s="1" t="s">
        <v>262</v>
      </c>
      <c r="K47" s="1">
        <v>13.4</v>
      </c>
    </row>
    <row r="48" ht="15" customHeight="1" spans="1:11">
      <c r="A48" s="4">
        <v>40</v>
      </c>
      <c r="B48" s="1" t="s">
        <v>218</v>
      </c>
      <c r="C48" s="1">
        <v>12.4</v>
      </c>
      <c r="D48" s="1" t="s">
        <v>239</v>
      </c>
      <c r="E48" s="1">
        <v>12.6</v>
      </c>
      <c r="F48" s="1" t="s">
        <v>220</v>
      </c>
      <c r="G48" s="1">
        <v>16.2</v>
      </c>
      <c r="H48" s="1" t="s">
        <v>281</v>
      </c>
      <c r="I48" s="1">
        <v>14.9</v>
      </c>
      <c r="J48" s="1" t="s">
        <v>202</v>
      </c>
      <c r="K48" s="1">
        <v>13.3</v>
      </c>
    </row>
    <row r="49" ht="15" customHeight="1" spans="1:11">
      <c r="A49" s="5" t="s">
        <v>82</v>
      </c>
      <c r="B49" s="6">
        <v>21.0675</v>
      </c>
      <c r="C49" s="1"/>
      <c r="D49" s="8">
        <v>20.5925</v>
      </c>
      <c r="E49" s="1"/>
      <c r="F49" s="6">
        <v>21.2975</v>
      </c>
      <c r="G49" s="1"/>
      <c r="H49" s="7">
        <v>21.7375</v>
      </c>
      <c r="I49" s="1"/>
      <c r="J49" s="6">
        <v>20.6775</v>
      </c>
      <c r="K49" s="1"/>
    </row>
    <row r="50" ht="15" customHeight="1" spans="1:11">
      <c r="A50" s="4">
        <v>41</v>
      </c>
      <c r="B50" s="1" t="s">
        <v>248</v>
      </c>
      <c r="C50" s="1">
        <v>12.3</v>
      </c>
      <c r="D50" s="1" t="s">
        <v>259</v>
      </c>
      <c r="E50" s="1">
        <v>12.2</v>
      </c>
      <c r="F50" s="1" t="s">
        <v>275</v>
      </c>
      <c r="G50" s="1">
        <v>16.1</v>
      </c>
      <c r="H50" s="1" t="s">
        <v>246</v>
      </c>
      <c r="I50" s="1">
        <v>14.1</v>
      </c>
      <c r="J50" s="1" t="s">
        <v>277</v>
      </c>
      <c r="K50" s="1">
        <v>10.9</v>
      </c>
    </row>
    <row r="51" ht="15" customHeight="1" spans="1:11">
      <c r="A51" s="4">
        <v>42</v>
      </c>
      <c r="B51" s="1" t="s">
        <v>263</v>
      </c>
      <c r="C51" s="1">
        <v>10.4</v>
      </c>
      <c r="D51" s="1" t="s">
        <v>269</v>
      </c>
      <c r="E51" s="1">
        <v>10.6</v>
      </c>
      <c r="F51" s="1" t="s">
        <v>260</v>
      </c>
      <c r="G51" s="1">
        <v>15.7</v>
      </c>
      <c r="H51" s="1" t="s">
        <v>266</v>
      </c>
      <c r="I51" s="1">
        <v>13.8</v>
      </c>
      <c r="J51" s="1" t="s">
        <v>247</v>
      </c>
      <c r="K51" s="1">
        <v>10.7</v>
      </c>
    </row>
    <row r="52" ht="15" customHeight="1" spans="1:11">
      <c r="A52" s="4">
        <v>43</v>
      </c>
      <c r="B52" s="1" t="s">
        <v>268</v>
      </c>
      <c r="C52" s="1">
        <v>8.4</v>
      </c>
      <c r="D52" s="1" t="s">
        <v>249</v>
      </c>
      <c r="E52" s="1">
        <v>7.3</v>
      </c>
      <c r="F52" s="1" t="s">
        <v>255</v>
      </c>
      <c r="G52" s="1">
        <v>15.2</v>
      </c>
      <c r="H52" s="1" t="s">
        <v>251</v>
      </c>
      <c r="I52" s="1">
        <v>12.8</v>
      </c>
      <c r="J52" s="1" t="s">
        <v>267</v>
      </c>
      <c r="K52" s="1">
        <v>9.1</v>
      </c>
    </row>
    <row r="53" ht="15" customHeight="1" spans="1:11">
      <c r="A53" s="4">
        <v>44</v>
      </c>
      <c r="B53" s="1" t="s">
        <v>273</v>
      </c>
      <c r="C53" s="1">
        <v>8.2</v>
      </c>
      <c r="D53" s="1" t="s">
        <v>274</v>
      </c>
      <c r="E53" s="1">
        <v>6.1</v>
      </c>
      <c r="F53" s="1" t="s">
        <v>280</v>
      </c>
      <c r="G53" s="1">
        <v>14.9</v>
      </c>
      <c r="H53" s="1" t="s">
        <v>256</v>
      </c>
      <c r="I53" s="1">
        <v>11.3</v>
      </c>
      <c r="J53" s="1"/>
      <c r="K53" s="1"/>
    </row>
    <row r="54" ht="15" customHeight="1" spans="1:11">
      <c r="A54" s="4">
        <v>45</v>
      </c>
      <c r="B54" s="1" t="s">
        <v>278</v>
      </c>
      <c r="C54" s="1">
        <v>6.3</v>
      </c>
      <c r="D54" s="1" t="s">
        <v>279</v>
      </c>
      <c r="E54" s="1">
        <v>4.5</v>
      </c>
      <c r="F54" s="1" t="s">
        <v>230</v>
      </c>
      <c r="G54" s="1">
        <v>12.9</v>
      </c>
      <c r="H54" s="1" t="s">
        <v>283</v>
      </c>
      <c r="I54" s="1">
        <v>10.7</v>
      </c>
      <c r="J54" s="1"/>
      <c r="K54" s="1"/>
    </row>
    <row r="55" ht="15" customHeight="1" spans="1:11">
      <c r="A55" s="5" t="s">
        <v>82</v>
      </c>
      <c r="B55" s="6">
        <v>19.74</v>
      </c>
      <c r="C55" s="1"/>
      <c r="D55" s="8">
        <v>19.2088888888889</v>
      </c>
      <c r="E55" s="1"/>
      <c r="F55" s="6">
        <v>20.5933333333333</v>
      </c>
      <c r="G55" s="1"/>
      <c r="H55" s="7">
        <v>20.7155555555556</v>
      </c>
      <c r="I55" s="1"/>
      <c r="J55" s="6">
        <v>19.9488372093023</v>
      </c>
      <c r="K55" s="1"/>
    </row>
    <row r="56" ht="15" customHeight="1" spans="1:11">
      <c r="A56" s="4">
        <v>46</v>
      </c>
      <c r="B56" s="1"/>
      <c r="C56" s="1"/>
      <c r="D56" s="1"/>
      <c r="E56" s="1"/>
      <c r="F56" s="1" t="s">
        <v>270</v>
      </c>
      <c r="G56" s="1">
        <v>10.3</v>
      </c>
      <c r="H56" s="1" t="s">
        <v>276</v>
      </c>
      <c r="I56" s="1">
        <v>9.2</v>
      </c>
      <c r="J56" s="1"/>
      <c r="K56" s="1"/>
    </row>
    <row r="57" ht="15" customHeight="1" spans="1:11">
      <c r="A57" s="4">
        <v>47</v>
      </c>
      <c r="B57" s="1"/>
      <c r="C57" s="1"/>
      <c r="D57" s="1"/>
      <c r="E57" s="1"/>
      <c r="F57" s="1" t="s">
        <v>282</v>
      </c>
      <c r="G57" s="1">
        <v>8.3</v>
      </c>
      <c r="H57" s="1"/>
      <c r="I57" s="1"/>
      <c r="J57" s="1"/>
      <c r="K57" s="1"/>
    </row>
    <row r="58" ht="15" customHeight="1" spans="1:11">
      <c r="A58" s="4">
        <v>48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" customHeight="1" spans="1:11">
      <c r="A59" s="4">
        <v>49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" customHeight="1" spans="1:11">
      <c r="A60" s="4">
        <v>50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" customHeight="1" spans="1:11">
      <c r="A61" s="5" t="s">
        <v>82</v>
      </c>
      <c r="B61" s="6">
        <v>19.74</v>
      </c>
      <c r="C61" s="1"/>
      <c r="D61" s="8">
        <v>19.2088888888889</v>
      </c>
      <c r="E61" s="1"/>
      <c r="F61" s="6">
        <v>20.1127659574468</v>
      </c>
      <c r="G61" s="1"/>
      <c r="H61" s="7">
        <v>20.4652173913043</v>
      </c>
      <c r="I61" s="1"/>
      <c r="J61" s="6">
        <v>19.9488372093023</v>
      </c>
      <c r="K61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"/>
  <sheetViews>
    <sheetView showGridLines="0" workbookViewId="0">
      <selection activeCell="A1" sqref="A1"/>
    </sheetView>
  </sheetViews>
  <sheetFormatPr defaultColWidth="9" defaultRowHeight="13.5"/>
  <sheetData>
    <row r="1" ht="15" customHeight="1" spans="1:22">
      <c r="A1" s="1" t="s">
        <v>288</v>
      </c>
      <c r="B1" s="1" t="s">
        <v>289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313</v>
      </c>
    </row>
    <row r="2" ht="15" customHeight="1" spans="1:22">
      <c r="A2" s="1" t="s">
        <v>57</v>
      </c>
      <c r="B2" s="1" t="s">
        <v>51</v>
      </c>
      <c r="C2" s="1">
        <v>103.5</v>
      </c>
      <c r="D2" s="1" t="s">
        <v>2</v>
      </c>
      <c r="E2" s="1">
        <v>87</v>
      </c>
      <c r="F2" s="1" t="s">
        <v>3</v>
      </c>
      <c r="G2" s="1">
        <v>72.5</v>
      </c>
      <c r="H2" s="1" t="s">
        <v>2</v>
      </c>
      <c r="I2" s="1">
        <v>69</v>
      </c>
      <c r="J2" s="1" t="s">
        <v>2</v>
      </c>
      <c r="K2" s="1">
        <v>44</v>
      </c>
      <c r="L2" s="1" t="s">
        <v>3</v>
      </c>
      <c r="M2" s="1">
        <v>24</v>
      </c>
      <c r="N2" s="1" t="s">
        <v>2</v>
      </c>
      <c r="O2" s="1">
        <v>45</v>
      </c>
      <c r="P2" s="1" t="s">
        <v>3</v>
      </c>
      <c r="Q2" s="1">
        <v>61.5</v>
      </c>
      <c r="R2" s="1" t="s">
        <v>3</v>
      </c>
      <c r="S2" s="1">
        <v>96.5</v>
      </c>
      <c r="T2" s="1" t="s">
        <v>2</v>
      </c>
      <c r="U2" s="1">
        <v>506.5</v>
      </c>
      <c r="V2" s="1" t="s">
        <v>2</v>
      </c>
    </row>
    <row r="3" ht="15" customHeight="1" spans="1:22">
      <c r="A3" s="1" t="s">
        <v>62</v>
      </c>
      <c r="B3" s="1" t="s">
        <v>51</v>
      </c>
      <c r="C3" s="1">
        <v>97</v>
      </c>
      <c r="D3" s="1" t="s">
        <v>3</v>
      </c>
      <c r="E3" s="1">
        <v>89</v>
      </c>
      <c r="F3" s="1" t="s">
        <v>3</v>
      </c>
      <c r="G3" s="1">
        <v>74.5</v>
      </c>
      <c r="H3" s="1" t="s">
        <v>2</v>
      </c>
      <c r="I3" s="1">
        <v>66</v>
      </c>
      <c r="J3" s="1" t="s">
        <v>2</v>
      </c>
      <c r="K3" s="1">
        <v>44.5</v>
      </c>
      <c r="L3" s="1" t="s">
        <v>3</v>
      </c>
      <c r="M3" s="1">
        <v>24.3</v>
      </c>
      <c r="N3" s="1" t="s">
        <v>2</v>
      </c>
      <c r="O3" s="1">
        <v>47</v>
      </c>
      <c r="P3" s="1" t="s">
        <v>3</v>
      </c>
      <c r="Q3" s="1">
        <v>64</v>
      </c>
      <c r="R3" s="1" t="s">
        <v>2</v>
      </c>
      <c r="S3" s="1">
        <v>98.8</v>
      </c>
      <c r="T3" s="1" t="s">
        <v>2</v>
      </c>
      <c r="U3" s="1">
        <v>506.3</v>
      </c>
      <c r="V3" s="1" t="s">
        <v>2</v>
      </c>
    </row>
    <row r="4" ht="15" customHeight="1" spans="1:22">
      <c r="A4" s="1" t="s">
        <v>67</v>
      </c>
      <c r="B4" s="1" t="s">
        <v>51</v>
      </c>
      <c r="C4" s="1">
        <v>105</v>
      </c>
      <c r="D4" s="1" t="s">
        <v>2</v>
      </c>
      <c r="E4" s="1">
        <v>83</v>
      </c>
      <c r="F4" s="1" t="s">
        <v>3</v>
      </c>
      <c r="G4" s="1">
        <v>71</v>
      </c>
      <c r="H4" s="1" t="s">
        <v>2</v>
      </c>
      <c r="I4" s="1">
        <v>66</v>
      </c>
      <c r="J4" s="1" t="s">
        <v>2</v>
      </c>
      <c r="K4" s="1">
        <v>43.5</v>
      </c>
      <c r="L4" s="1" t="s">
        <v>3</v>
      </c>
      <c r="M4" s="1">
        <v>24</v>
      </c>
      <c r="N4" s="1" t="s">
        <v>2</v>
      </c>
      <c r="O4" s="1">
        <v>49</v>
      </c>
      <c r="P4" s="1" t="s">
        <v>2</v>
      </c>
      <c r="Q4" s="1">
        <v>63.5</v>
      </c>
      <c r="R4" s="1" t="s">
        <v>3</v>
      </c>
      <c r="S4" s="1">
        <v>95</v>
      </c>
      <c r="T4" s="1" t="s">
        <v>2</v>
      </c>
      <c r="U4" s="1">
        <v>505</v>
      </c>
      <c r="V4" s="1" t="s">
        <v>2</v>
      </c>
    </row>
    <row r="5" ht="15" customHeight="1" spans="1:22">
      <c r="A5" s="1" t="s">
        <v>72</v>
      </c>
      <c r="B5" s="1" t="s">
        <v>51</v>
      </c>
      <c r="C5" s="1">
        <v>98.5</v>
      </c>
      <c r="D5" s="1" t="s">
        <v>3</v>
      </c>
      <c r="E5" s="1">
        <v>93</v>
      </c>
      <c r="F5" s="1" t="s">
        <v>2</v>
      </c>
      <c r="G5" s="1">
        <v>72</v>
      </c>
      <c r="H5" s="1" t="s">
        <v>2</v>
      </c>
      <c r="I5" s="1">
        <v>67</v>
      </c>
      <c r="J5" s="1" t="s">
        <v>2</v>
      </c>
      <c r="K5" s="1">
        <v>48</v>
      </c>
      <c r="L5" s="1" t="s">
        <v>2</v>
      </c>
      <c r="M5" s="1">
        <v>23.3</v>
      </c>
      <c r="N5" s="1" t="s">
        <v>3</v>
      </c>
      <c r="O5" s="1">
        <v>41.5</v>
      </c>
      <c r="P5" s="1" t="s">
        <v>5</v>
      </c>
      <c r="Q5" s="1">
        <v>57</v>
      </c>
      <c r="R5" s="1" t="s">
        <v>3</v>
      </c>
      <c r="S5" s="1">
        <v>95.3</v>
      </c>
      <c r="T5" s="1" t="s">
        <v>2</v>
      </c>
      <c r="U5" s="1">
        <v>500.3</v>
      </c>
      <c r="V5" s="1" t="s">
        <v>2</v>
      </c>
    </row>
    <row r="6" ht="15" customHeight="1" spans="1:22">
      <c r="A6" s="1" t="s">
        <v>77</v>
      </c>
      <c r="B6" s="1" t="s">
        <v>51</v>
      </c>
      <c r="C6" s="1">
        <v>95.5</v>
      </c>
      <c r="D6" s="1" t="s">
        <v>3</v>
      </c>
      <c r="E6" s="1">
        <v>91</v>
      </c>
      <c r="F6" s="1" t="s">
        <v>2</v>
      </c>
      <c r="G6" s="1">
        <v>74</v>
      </c>
      <c r="H6" s="1" t="s">
        <v>2</v>
      </c>
      <c r="I6" s="1">
        <v>61</v>
      </c>
      <c r="J6" s="1" t="s">
        <v>3</v>
      </c>
      <c r="K6" s="1">
        <v>41.5</v>
      </c>
      <c r="L6" s="1" t="s">
        <v>3</v>
      </c>
      <c r="M6" s="1">
        <v>23.7</v>
      </c>
      <c r="N6" s="1" t="s">
        <v>3</v>
      </c>
      <c r="O6" s="1">
        <v>47</v>
      </c>
      <c r="P6" s="1" t="s">
        <v>3</v>
      </c>
      <c r="Q6" s="1">
        <v>62.5</v>
      </c>
      <c r="R6" s="1" t="s">
        <v>3</v>
      </c>
      <c r="S6" s="1">
        <v>97.7</v>
      </c>
      <c r="T6" s="1" t="s">
        <v>2</v>
      </c>
      <c r="U6" s="1">
        <v>496.2</v>
      </c>
      <c r="V6" s="1" t="s">
        <v>3</v>
      </c>
    </row>
    <row r="7" ht="15" customHeight="1" spans="1:22">
      <c r="A7" s="1" t="s">
        <v>83</v>
      </c>
      <c r="B7" s="1" t="s">
        <v>51</v>
      </c>
      <c r="C7" s="1">
        <v>102</v>
      </c>
      <c r="D7" s="1" t="s">
        <v>2</v>
      </c>
      <c r="E7" s="1">
        <v>85</v>
      </c>
      <c r="F7" s="1" t="s">
        <v>3</v>
      </c>
      <c r="G7" s="1">
        <v>73</v>
      </c>
      <c r="H7" s="1" t="s">
        <v>2</v>
      </c>
      <c r="I7" s="1">
        <v>60.5</v>
      </c>
      <c r="J7" s="1" t="s">
        <v>3</v>
      </c>
      <c r="K7" s="1">
        <v>40</v>
      </c>
      <c r="L7" s="1" t="s">
        <v>5</v>
      </c>
      <c r="M7" s="1">
        <v>23.1</v>
      </c>
      <c r="N7" s="1" t="s">
        <v>3</v>
      </c>
      <c r="O7" s="1">
        <v>42.5</v>
      </c>
      <c r="P7" s="1" t="s">
        <v>5</v>
      </c>
      <c r="Q7" s="1">
        <v>59</v>
      </c>
      <c r="R7" s="1" t="s">
        <v>3</v>
      </c>
      <c r="S7" s="1">
        <v>96.1</v>
      </c>
      <c r="T7" s="1" t="s">
        <v>2</v>
      </c>
      <c r="U7" s="1">
        <v>485.1</v>
      </c>
      <c r="V7" s="1" t="s">
        <v>3</v>
      </c>
    </row>
    <row r="8" ht="15" customHeight="1" spans="1:22">
      <c r="A8" s="1" t="s">
        <v>88</v>
      </c>
      <c r="B8" s="1" t="s">
        <v>51</v>
      </c>
      <c r="C8" s="1">
        <v>98.5</v>
      </c>
      <c r="D8" s="1" t="s">
        <v>3</v>
      </c>
      <c r="E8" s="1">
        <v>84</v>
      </c>
      <c r="F8" s="1" t="s">
        <v>3</v>
      </c>
      <c r="G8" s="1">
        <v>71</v>
      </c>
      <c r="H8" s="1" t="s">
        <v>2</v>
      </c>
      <c r="I8" s="1">
        <v>62</v>
      </c>
      <c r="J8" s="1" t="s">
        <v>3</v>
      </c>
      <c r="K8" s="1">
        <v>46.5</v>
      </c>
      <c r="L8" s="1" t="s">
        <v>2</v>
      </c>
      <c r="M8" s="1">
        <v>22.8</v>
      </c>
      <c r="N8" s="1" t="s">
        <v>3</v>
      </c>
      <c r="O8" s="1">
        <v>43.5</v>
      </c>
      <c r="P8" s="1" t="s">
        <v>5</v>
      </c>
      <c r="Q8" s="1">
        <v>56</v>
      </c>
      <c r="R8" s="1" t="s">
        <v>5</v>
      </c>
      <c r="S8" s="1">
        <v>93.8</v>
      </c>
      <c r="T8" s="1" t="s">
        <v>3</v>
      </c>
      <c r="U8" s="1">
        <v>484.3</v>
      </c>
      <c r="V8" s="1" t="s">
        <v>3</v>
      </c>
    </row>
    <row r="9" ht="15" customHeight="1" spans="1:22">
      <c r="A9" s="1" t="s">
        <v>93</v>
      </c>
      <c r="B9" s="1" t="s">
        <v>51</v>
      </c>
      <c r="C9" s="1">
        <v>92</v>
      </c>
      <c r="D9" s="1" t="s">
        <v>5</v>
      </c>
      <c r="E9" s="1">
        <v>89</v>
      </c>
      <c r="F9" s="1" t="s">
        <v>3</v>
      </c>
      <c r="G9" s="1">
        <v>69.5</v>
      </c>
      <c r="H9" s="1" t="s">
        <v>3</v>
      </c>
      <c r="I9" s="1">
        <v>60.5</v>
      </c>
      <c r="J9" s="1" t="s">
        <v>3</v>
      </c>
      <c r="K9" s="1">
        <v>41</v>
      </c>
      <c r="L9" s="1" t="s">
        <v>5</v>
      </c>
      <c r="M9" s="1">
        <v>22</v>
      </c>
      <c r="N9" s="1" t="s">
        <v>3</v>
      </c>
      <c r="O9" s="1">
        <v>48</v>
      </c>
      <c r="P9" s="1" t="s">
        <v>2</v>
      </c>
      <c r="Q9" s="1">
        <v>61</v>
      </c>
      <c r="R9" s="1" t="s">
        <v>3</v>
      </c>
      <c r="S9" s="1">
        <v>91.5</v>
      </c>
      <c r="T9" s="1" t="s">
        <v>3</v>
      </c>
      <c r="U9" s="1">
        <v>483</v>
      </c>
      <c r="V9" s="1" t="s">
        <v>3</v>
      </c>
    </row>
    <row r="10" ht="15" customHeight="1" spans="1:22">
      <c r="A10" s="1" t="s">
        <v>98</v>
      </c>
      <c r="B10" s="1" t="s">
        <v>51</v>
      </c>
      <c r="C10" s="1">
        <v>99</v>
      </c>
      <c r="D10" s="1" t="s">
        <v>3</v>
      </c>
      <c r="E10" s="1">
        <v>87</v>
      </c>
      <c r="F10" s="1" t="s">
        <v>3</v>
      </c>
      <c r="G10" s="1">
        <v>62.5</v>
      </c>
      <c r="H10" s="1" t="s">
        <v>5</v>
      </c>
      <c r="I10" s="1">
        <v>69</v>
      </c>
      <c r="J10" s="1" t="s">
        <v>2</v>
      </c>
      <c r="K10" s="1">
        <v>43</v>
      </c>
      <c r="L10" s="1" t="s">
        <v>3</v>
      </c>
      <c r="M10" s="1">
        <v>21.2</v>
      </c>
      <c r="N10" s="1" t="s">
        <v>5</v>
      </c>
      <c r="O10" s="1">
        <v>39</v>
      </c>
      <c r="P10" s="1" t="s">
        <v>5</v>
      </c>
      <c r="Q10" s="1">
        <v>56</v>
      </c>
      <c r="R10" s="1" t="s">
        <v>5</v>
      </c>
      <c r="S10" s="1">
        <v>83.7</v>
      </c>
      <c r="T10" s="1" t="s">
        <v>5</v>
      </c>
      <c r="U10" s="1">
        <v>476.7</v>
      </c>
      <c r="V10" s="1" t="s">
        <v>3</v>
      </c>
    </row>
    <row r="11" ht="15" customHeight="1" spans="1:22">
      <c r="A11" s="1" t="s">
        <v>103</v>
      </c>
      <c r="B11" s="1" t="s">
        <v>51</v>
      </c>
      <c r="C11" s="1">
        <v>94</v>
      </c>
      <c r="D11" s="1" t="s">
        <v>3</v>
      </c>
      <c r="E11" s="1">
        <v>87</v>
      </c>
      <c r="F11" s="1" t="s">
        <v>3</v>
      </c>
      <c r="G11" s="1">
        <v>65.5</v>
      </c>
      <c r="H11" s="1" t="s">
        <v>3</v>
      </c>
      <c r="I11" s="1">
        <v>62.5</v>
      </c>
      <c r="J11" s="1" t="s">
        <v>3</v>
      </c>
      <c r="K11" s="1">
        <v>40.5</v>
      </c>
      <c r="L11" s="1" t="s">
        <v>5</v>
      </c>
      <c r="M11" s="1">
        <v>22.6</v>
      </c>
      <c r="N11" s="1" t="s">
        <v>3</v>
      </c>
      <c r="O11" s="1">
        <v>42</v>
      </c>
      <c r="P11" s="1" t="s">
        <v>5</v>
      </c>
      <c r="Q11" s="1">
        <v>59</v>
      </c>
      <c r="R11" s="1" t="s">
        <v>3</v>
      </c>
      <c r="S11" s="1">
        <v>88.1</v>
      </c>
      <c r="T11" s="1" t="s">
        <v>3</v>
      </c>
      <c r="U11" s="1">
        <v>473.1</v>
      </c>
      <c r="V11" s="1" t="s">
        <v>3</v>
      </c>
    </row>
    <row r="12" ht="15" customHeight="1" spans="1:22">
      <c r="A12" s="1" t="s">
        <v>108</v>
      </c>
      <c r="B12" s="1" t="s">
        <v>51</v>
      </c>
      <c r="C12" s="1">
        <v>92.5</v>
      </c>
      <c r="D12" s="1" t="s">
        <v>3</v>
      </c>
      <c r="E12" s="1">
        <v>90</v>
      </c>
      <c r="F12" s="1" t="s">
        <v>3</v>
      </c>
      <c r="G12" s="1">
        <v>64.5</v>
      </c>
      <c r="H12" s="1" t="s">
        <v>3</v>
      </c>
      <c r="I12" s="1">
        <v>56.5</v>
      </c>
      <c r="J12" s="1" t="s">
        <v>5</v>
      </c>
      <c r="K12" s="1">
        <v>44.5</v>
      </c>
      <c r="L12" s="1" t="s">
        <v>3</v>
      </c>
      <c r="M12" s="1">
        <v>24.1</v>
      </c>
      <c r="N12" s="1" t="s">
        <v>2</v>
      </c>
      <c r="O12" s="1">
        <v>46.5</v>
      </c>
      <c r="P12" s="1" t="s">
        <v>3</v>
      </c>
      <c r="Q12" s="1">
        <v>54</v>
      </c>
      <c r="R12" s="1" t="s">
        <v>5</v>
      </c>
      <c r="S12" s="1">
        <v>88.6</v>
      </c>
      <c r="T12" s="1" t="s">
        <v>3</v>
      </c>
      <c r="U12" s="1">
        <v>472.6</v>
      </c>
      <c r="V12" s="1" t="s">
        <v>3</v>
      </c>
    </row>
    <row r="13" ht="15" customHeight="1" spans="1:22">
      <c r="A13" s="1" t="s">
        <v>113</v>
      </c>
      <c r="B13" s="1" t="s">
        <v>51</v>
      </c>
      <c r="C13" s="1">
        <v>95</v>
      </c>
      <c r="D13" s="1" t="s">
        <v>3</v>
      </c>
      <c r="E13" s="1">
        <v>85</v>
      </c>
      <c r="F13" s="1" t="s">
        <v>3</v>
      </c>
      <c r="G13" s="1">
        <v>66.5</v>
      </c>
      <c r="H13" s="1" t="s">
        <v>3</v>
      </c>
      <c r="I13" s="1">
        <v>65</v>
      </c>
      <c r="J13" s="1" t="s">
        <v>2</v>
      </c>
      <c r="K13" s="1">
        <v>40</v>
      </c>
      <c r="L13" s="1" t="s">
        <v>5</v>
      </c>
      <c r="M13" s="1">
        <v>18</v>
      </c>
      <c r="N13" s="1" t="s">
        <v>7</v>
      </c>
      <c r="O13" s="1">
        <v>43</v>
      </c>
      <c r="P13" s="1" t="s">
        <v>5</v>
      </c>
      <c r="Q13" s="1">
        <v>60</v>
      </c>
      <c r="R13" s="1" t="s">
        <v>3</v>
      </c>
      <c r="S13" s="1">
        <v>84.5</v>
      </c>
      <c r="T13" s="1" t="s">
        <v>5</v>
      </c>
      <c r="U13" s="1">
        <v>472.5</v>
      </c>
      <c r="V13" s="1" t="s">
        <v>3</v>
      </c>
    </row>
    <row r="14" ht="15" customHeight="1" spans="1:22">
      <c r="A14" s="1" t="s">
        <v>118</v>
      </c>
      <c r="B14" s="1" t="s">
        <v>51</v>
      </c>
      <c r="C14" s="1">
        <v>96</v>
      </c>
      <c r="D14" s="1" t="s">
        <v>3</v>
      </c>
      <c r="E14" s="1">
        <v>81</v>
      </c>
      <c r="F14" s="1" t="s">
        <v>5</v>
      </c>
      <c r="G14" s="1">
        <v>70.5</v>
      </c>
      <c r="H14" s="1" t="s">
        <v>3</v>
      </c>
      <c r="I14" s="1">
        <v>62.5</v>
      </c>
      <c r="J14" s="1" t="s">
        <v>3</v>
      </c>
      <c r="K14" s="1">
        <v>42</v>
      </c>
      <c r="L14" s="1" t="s">
        <v>3</v>
      </c>
      <c r="M14" s="1">
        <v>23.9</v>
      </c>
      <c r="N14" s="1" t="s">
        <v>2</v>
      </c>
      <c r="O14" s="1">
        <v>43</v>
      </c>
      <c r="P14" s="1" t="s">
        <v>5</v>
      </c>
      <c r="Q14" s="1">
        <v>53</v>
      </c>
      <c r="R14" s="1" t="s">
        <v>5</v>
      </c>
      <c r="S14" s="1">
        <v>94.4</v>
      </c>
      <c r="T14" s="1" t="s">
        <v>3</v>
      </c>
      <c r="U14" s="1">
        <v>471.9</v>
      </c>
      <c r="V14" s="1" t="s">
        <v>3</v>
      </c>
    </row>
    <row r="15" ht="15" customHeight="1" spans="1:22">
      <c r="A15" s="1" t="s">
        <v>123</v>
      </c>
      <c r="B15" s="1" t="s">
        <v>51</v>
      </c>
      <c r="C15" s="1">
        <v>86</v>
      </c>
      <c r="D15" s="1" t="s">
        <v>5</v>
      </c>
      <c r="E15" s="1">
        <v>85</v>
      </c>
      <c r="F15" s="1" t="s">
        <v>3</v>
      </c>
      <c r="G15" s="1">
        <v>66.5</v>
      </c>
      <c r="H15" s="1" t="s">
        <v>3</v>
      </c>
      <c r="I15" s="1">
        <v>61.5</v>
      </c>
      <c r="J15" s="1" t="s">
        <v>3</v>
      </c>
      <c r="K15" s="1">
        <v>40</v>
      </c>
      <c r="L15" s="1" t="s">
        <v>5</v>
      </c>
      <c r="M15" s="1">
        <v>21.8</v>
      </c>
      <c r="N15" s="1" t="s">
        <v>5</v>
      </c>
      <c r="O15" s="1">
        <v>47</v>
      </c>
      <c r="P15" s="1" t="s">
        <v>3</v>
      </c>
      <c r="Q15" s="1">
        <v>63.5</v>
      </c>
      <c r="R15" s="1" t="s">
        <v>3</v>
      </c>
      <c r="S15" s="1">
        <v>88.3</v>
      </c>
      <c r="T15" s="1" t="s">
        <v>3</v>
      </c>
      <c r="U15" s="1">
        <v>471.3</v>
      </c>
      <c r="V15" s="1" t="s">
        <v>3</v>
      </c>
    </row>
    <row r="16" ht="15" customHeight="1" spans="1:22">
      <c r="A16" s="1" t="s">
        <v>128</v>
      </c>
      <c r="B16" s="1" t="s">
        <v>51</v>
      </c>
      <c r="C16" s="1">
        <v>94</v>
      </c>
      <c r="D16" s="1" t="s">
        <v>3</v>
      </c>
      <c r="E16" s="1">
        <v>91</v>
      </c>
      <c r="F16" s="1" t="s">
        <v>2</v>
      </c>
      <c r="G16" s="1">
        <v>72.5</v>
      </c>
      <c r="H16" s="1" t="s">
        <v>2</v>
      </c>
      <c r="I16" s="1">
        <v>50</v>
      </c>
      <c r="J16" s="1" t="s">
        <v>7</v>
      </c>
      <c r="K16" s="1">
        <v>38.5</v>
      </c>
      <c r="L16" s="1" t="s">
        <v>5</v>
      </c>
      <c r="M16" s="1">
        <v>23.2</v>
      </c>
      <c r="N16" s="1" t="s">
        <v>3</v>
      </c>
      <c r="O16" s="1">
        <v>45</v>
      </c>
      <c r="P16" s="1" t="s">
        <v>3</v>
      </c>
      <c r="Q16" s="1">
        <v>56</v>
      </c>
      <c r="R16" s="1" t="s">
        <v>5</v>
      </c>
      <c r="S16" s="1">
        <v>95.7</v>
      </c>
      <c r="T16" s="1" t="s">
        <v>2</v>
      </c>
      <c r="U16" s="1">
        <v>470.2</v>
      </c>
      <c r="V16" s="1" t="s">
        <v>3</v>
      </c>
    </row>
    <row r="17" ht="15" customHeight="1" spans="1:22">
      <c r="A17" s="1" t="s">
        <v>133</v>
      </c>
      <c r="B17" s="1" t="s">
        <v>51</v>
      </c>
      <c r="C17" s="1">
        <v>89.5</v>
      </c>
      <c r="D17" s="1" t="s">
        <v>5</v>
      </c>
      <c r="E17" s="1">
        <v>83</v>
      </c>
      <c r="F17" s="1" t="s">
        <v>3</v>
      </c>
      <c r="G17" s="1">
        <v>70.5</v>
      </c>
      <c r="H17" s="1" t="s">
        <v>3</v>
      </c>
      <c r="I17" s="1">
        <v>54.5</v>
      </c>
      <c r="J17" s="1" t="s">
        <v>5</v>
      </c>
      <c r="K17" s="1">
        <v>39.5</v>
      </c>
      <c r="L17" s="1" t="s">
        <v>5</v>
      </c>
      <c r="M17" s="1">
        <v>23.6</v>
      </c>
      <c r="N17" s="1" t="s">
        <v>3</v>
      </c>
      <c r="O17" s="1">
        <v>44</v>
      </c>
      <c r="P17" s="1" t="s">
        <v>5</v>
      </c>
      <c r="Q17" s="1">
        <v>63</v>
      </c>
      <c r="R17" s="1" t="s">
        <v>3</v>
      </c>
      <c r="S17" s="1">
        <v>94.1</v>
      </c>
      <c r="T17" s="1" t="s">
        <v>3</v>
      </c>
      <c r="U17" s="1">
        <v>467.6</v>
      </c>
      <c r="V17" s="1" t="s">
        <v>3</v>
      </c>
    </row>
    <row r="18" ht="15" customHeight="1" spans="1:22">
      <c r="A18" s="1" t="s">
        <v>138</v>
      </c>
      <c r="B18" s="1" t="s">
        <v>51</v>
      </c>
      <c r="C18" s="1">
        <v>97</v>
      </c>
      <c r="D18" s="1" t="s">
        <v>3</v>
      </c>
      <c r="E18" s="1">
        <v>84</v>
      </c>
      <c r="F18" s="1" t="s">
        <v>3</v>
      </c>
      <c r="G18" s="1">
        <v>63</v>
      </c>
      <c r="H18" s="1" t="s">
        <v>5</v>
      </c>
      <c r="I18" s="1">
        <v>64</v>
      </c>
      <c r="J18" s="1" t="s">
        <v>3</v>
      </c>
      <c r="K18" s="1">
        <v>39</v>
      </c>
      <c r="L18" s="1" t="s">
        <v>5</v>
      </c>
      <c r="M18" s="1">
        <v>19.3</v>
      </c>
      <c r="N18" s="1" t="s">
        <v>5</v>
      </c>
      <c r="O18" s="1">
        <v>40.5</v>
      </c>
      <c r="P18" s="1" t="s">
        <v>5</v>
      </c>
      <c r="Q18" s="1">
        <v>59</v>
      </c>
      <c r="R18" s="1" t="s">
        <v>3</v>
      </c>
      <c r="S18" s="1">
        <v>82.3</v>
      </c>
      <c r="T18" s="1" t="s">
        <v>5</v>
      </c>
      <c r="U18" s="1">
        <v>465.8</v>
      </c>
      <c r="V18" s="1" t="s">
        <v>3</v>
      </c>
    </row>
    <row r="19" ht="15" customHeight="1" spans="1:22">
      <c r="A19" s="1" t="s">
        <v>143</v>
      </c>
      <c r="B19" s="1" t="s">
        <v>51</v>
      </c>
      <c r="C19" s="1">
        <v>98.5</v>
      </c>
      <c r="D19" s="1" t="s">
        <v>3</v>
      </c>
      <c r="E19" s="1">
        <v>83</v>
      </c>
      <c r="F19" s="1" t="s">
        <v>3</v>
      </c>
      <c r="G19" s="1">
        <v>66.5</v>
      </c>
      <c r="H19" s="1" t="s">
        <v>3</v>
      </c>
      <c r="I19" s="1">
        <v>59</v>
      </c>
      <c r="J19" s="1" t="s">
        <v>5</v>
      </c>
      <c r="K19" s="1">
        <v>47.5</v>
      </c>
      <c r="L19" s="1" t="s">
        <v>2</v>
      </c>
      <c r="M19" s="1">
        <v>23</v>
      </c>
      <c r="N19" s="1" t="s">
        <v>3</v>
      </c>
      <c r="O19" s="1">
        <v>36.5</v>
      </c>
      <c r="P19" s="1" t="s">
        <v>7</v>
      </c>
      <c r="Q19" s="1">
        <v>51.5</v>
      </c>
      <c r="R19" s="1" t="s">
        <v>5</v>
      </c>
      <c r="S19" s="1">
        <v>89.5</v>
      </c>
      <c r="T19" s="1" t="s">
        <v>3</v>
      </c>
      <c r="U19" s="1">
        <v>465.5</v>
      </c>
      <c r="V19" s="1" t="s">
        <v>3</v>
      </c>
    </row>
    <row r="20" ht="15" customHeight="1" spans="1:22">
      <c r="A20" s="1" t="s">
        <v>148</v>
      </c>
      <c r="B20" s="1" t="s">
        <v>51</v>
      </c>
      <c r="C20" s="1">
        <v>91</v>
      </c>
      <c r="D20" s="1" t="s">
        <v>5</v>
      </c>
      <c r="E20" s="1">
        <v>84</v>
      </c>
      <c r="F20" s="1" t="s">
        <v>3</v>
      </c>
      <c r="G20" s="1">
        <v>63.5</v>
      </c>
      <c r="H20" s="1" t="s">
        <v>5</v>
      </c>
      <c r="I20" s="1">
        <v>63</v>
      </c>
      <c r="J20" s="1" t="s">
        <v>3</v>
      </c>
      <c r="K20" s="1">
        <v>39.5</v>
      </c>
      <c r="L20" s="1" t="s">
        <v>5</v>
      </c>
      <c r="M20" s="1">
        <v>20.5</v>
      </c>
      <c r="N20" s="1" t="s">
        <v>5</v>
      </c>
      <c r="O20" s="1">
        <v>43.5</v>
      </c>
      <c r="P20" s="1" t="s">
        <v>5</v>
      </c>
      <c r="Q20" s="1">
        <v>57</v>
      </c>
      <c r="R20" s="1" t="s">
        <v>3</v>
      </c>
      <c r="S20" s="1">
        <v>84</v>
      </c>
      <c r="T20" s="1" t="s">
        <v>5</v>
      </c>
      <c r="U20" s="1">
        <v>462</v>
      </c>
      <c r="V20" s="1" t="s">
        <v>3</v>
      </c>
    </row>
    <row r="21" ht="15" customHeight="1" spans="1:22">
      <c r="A21" s="1" t="s">
        <v>153</v>
      </c>
      <c r="B21" s="1" t="s">
        <v>51</v>
      </c>
      <c r="C21" s="1">
        <v>95</v>
      </c>
      <c r="D21" s="1" t="s">
        <v>3</v>
      </c>
      <c r="E21" s="1">
        <v>83</v>
      </c>
      <c r="F21" s="1" t="s">
        <v>3</v>
      </c>
      <c r="G21" s="1">
        <v>61.5</v>
      </c>
      <c r="H21" s="1" t="s">
        <v>5</v>
      </c>
      <c r="I21" s="1">
        <v>54</v>
      </c>
      <c r="J21" s="1" t="s">
        <v>5</v>
      </c>
      <c r="K21" s="1">
        <v>42.5</v>
      </c>
      <c r="L21" s="1" t="s">
        <v>3</v>
      </c>
      <c r="M21" s="1">
        <v>20.5</v>
      </c>
      <c r="N21" s="1" t="s">
        <v>5</v>
      </c>
      <c r="O21" s="1">
        <v>46</v>
      </c>
      <c r="P21" s="1" t="s">
        <v>3</v>
      </c>
      <c r="Q21" s="1">
        <v>58</v>
      </c>
      <c r="R21" s="1" t="s">
        <v>3</v>
      </c>
      <c r="S21" s="1">
        <v>82</v>
      </c>
      <c r="T21" s="1" t="s">
        <v>5</v>
      </c>
      <c r="U21" s="1">
        <v>460.5</v>
      </c>
      <c r="V21" s="1" t="s">
        <v>3</v>
      </c>
    </row>
    <row r="22" ht="15" customHeight="1" spans="1:22">
      <c r="A22" s="1" t="s">
        <v>158</v>
      </c>
      <c r="B22" s="1" t="s">
        <v>51</v>
      </c>
      <c r="C22" s="1">
        <v>87</v>
      </c>
      <c r="D22" s="1" t="s">
        <v>5</v>
      </c>
      <c r="E22" s="1">
        <v>84</v>
      </c>
      <c r="F22" s="1" t="s">
        <v>3</v>
      </c>
      <c r="G22" s="1">
        <v>69</v>
      </c>
      <c r="H22" s="1" t="s">
        <v>3</v>
      </c>
      <c r="I22" s="1">
        <v>59.5</v>
      </c>
      <c r="J22" s="1" t="s">
        <v>3</v>
      </c>
      <c r="K22" s="1">
        <v>37.5</v>
      </c>
      <c r="L22" s="1" t="s">
        <v>5</v>
      </c>
      <c r="M22" s="1">
        <v>22.3</v>
      </c>
      <c r="N22" s="1" t="s">
        <v>3</v>
      </c>
      <c r="O22" s="1">
        <v>44</v>
      </c>
      <c r="P22" s="1" t="s">
        <v>5</v>
      </c>
      <c r="Q22" s="1">
        <v>51.5</v>
      </c>
      <c r="R22" s="1" t="s">
        <v>5</v>
      </c>
      <c r="S22" s="1">
        <v>91.3</v>
      </c>
      <c r="T22" s="1" t="s">
        <v>3</v>
      </c>
      <c r="U22" s="1">
        <v>454.8</v>
      </c>
      <c r="V22" s="1" t="s">
        <v>5</v>
      </c>
    </row>
    <row r="23" ht="15" customHeight="1" spans="1:22">
      <c r="A23" s="1" t="s">
        <v>163</v>
      </c>
      <c r="B23" s="1" t="s">
        <v>51</v>
      </c>
      <c r="C23" s="1">
        <v>94</v>
      </c>
      <c r="D23" s="1" t="s">
        <v>3</v>
      </c>
      <c r="E23" s="1">
        <v>78</v>
      </c>
      <c r="F23" s="1" t="s">
        <v>5</v>
      </c>
      <c r="G23" s="1">
        <v>65</v>
      </c>
      <c r="H23" s="1" t="s">
        <v>3</v>
      </c>
      <c r="I23" s="1">
        <v>54.5</v>
      </c>
      <c r="J23" s="1" t="s">
        <v>5</v>
      </c>
      <c r="K23" s="1">
        <v>41.5</v>
      </c>
      <c r="L23" s="1" t="s">
        <v>3</v>
      </c>
      <c r="M23" s="1">
        <v>22.7</v>
      </c>
      <c r="N23" s="1" t="s">
        <v>3</v>
      </c>
      <c r="O23" s="1">
        <v>36.5</v>
      </c>
      <c r="P23" s="1" t="s">
        <v>7</v>
      </c>
      <c r="Q23" s="1">
        <v>51</v>
      </c>
      <c r="R23" s="1" t="s">
        <v>5</v>
      </c>
      <c r="S23" s="1">
        <v>87.7</v>
      </c>
      <c r="T23" s="1" t="s">
        <v>3</v>
      </c>
      <c r="U23" s="1">
        <v>443.2</v>
      </c>
      <c r="V23" s="1" t="s">
        <v>5</v>
      </c>
    </row>
    <row r="24" ht="15" customHeight="1" spans="1:22">
      <c r="A24" s="1" t="s">
        <v>168</v>
      </c>
      <c r="B24" s="1" t="s">
        <v>51</v>
      </c>
      <c r="C24" s="1">
        <v>94.5</v>
      </c>
      <c r="D24" s="1" t="s">
        <v>3</v>
      </c>
      <c r="E24" s="1">
        <v>80</v>
      </c>
      <c r="F24" s="1" t="s">
        <v>5</v>
      </c>
      <c r="G24" s="1">
        <v>66</v>
      </c>
      <c r="H24" s="1" t="s">
        <v>3</v>
      </c>
      <c r="I24" s="1">
        <v>60.5</v>
      </c>
      <c r="J24" s="1" t="s">
        <v>3</v>
      </c>
      <c r="K24" s="1">
        <v>35.5</v>
      </c>
      <c r="L24" s="1" t="s">
        <v>7</v>
      </c>
      <c r="M24" s="1">
        <v>21.6</v>
      </c>
      <c r="N24" s="1" t="s">
        <v>5</v>
      </c>
      <c r="O24" s="1">
        <v>35</v>
      </c>
      <c r="P24" s="1" t="s">
        <v>7</v>
      </c>
      <c r="Q24" s="1">
        <v>48.5</v>
      </c>
      <c r="R24" s="1" t="s">
        <v>5</v>
      </c>
      <c r="S24" s="1">
        <v>87.6</v>
      </c>
      <c r="T24" s="1" t="s">
        <v>3</v>
      </c>
      <c r="U24" s="1">
        <v>441.6</v>
      </c>
      <c r="V24" s="1" t="s">
        <v>5</v>
      </c>
    </row>
    <row r="25" ht="15" customHeight="1" spans="1:22">
      <c r="A25" s="1" t="s">
        <v>173</v>
      </c>
      <c r="B25" s="1" t="s">
        <v>51</v>
      </c>
      <c r="C25" s="1">
        <v>92.5</v>
      </c>
      <c r="D25" s="1" t="s">
        <v>3</v>
      </c>
      <c r="E25" s="1">
        <v>78</v>
      </c>
      <c r="F25" s="1" t="s">
        <v>5</v>
      </c>
      <c r="G25" s="1">
        <v>63</v>
      </c>
      <c r="H25" s="1" t="s">
        <v>5</v>
      </c>
      <c r="I25" s="1">
        <v>51.5</v>
      </c>
      <c r="J25" s="1" t="s">
        <v>7</v>
      </c>
      <c r="K25" s="1">
        <v>39.5</v>
      </c>
      <c r="L25" s="1" t="s">
        <v>5</v>
      </c>
      <c r="M25" s="1">
        <v>22.4</v>
      </c>
      <c r="N25" s="1" t="s">
        <v>3</v>
      </c>
      <c r="O25" s="1">
        <v>38.5</v>
      </c>
      <c r="P25" s="1" t="s">
        <v>5</v>
      </c>
      <c r="Q25" s="1">
        <v>51.5</v>
      </c>
      <c r="R25" s="1" t="s">
        <v>5</v>
      </c>
      <c r="S25" s="1">
        <v>85.4</v>
      </c>
      <c r="T25" s="1" t="s">
        <v>3</v>
      </c>
      <c r="U25" s="1">
        <v>436.9</v>
      </c>
      <c r="V25" s="1" t="s">
        <v>5</v>
      </c>
    </row>
    <row r="26" ht="15" customHeight="1" spans="1:22">
      <c r="A26" s="1" t="s">
        <v>178</v>
      </c>
      <c r="B26" s="1" t="s">
        <v>51</v>
      </c>
      <c r="C26" s="1">
        <v>97.5</v>
      </c>
      <c r="D26" s="1" t="s">
        <v>3</v>
      </c>
      <c r="E26" s="1">
        <v>73</v>
      </c>
      <c r="F26" s="1" t="s">
        <v>7</v>
      </c>
      <c r="G26" s="1">
        <v>63</v>
      </c>
      <c r="H26" s="1" t="s">
        <v>5</v>
      </c>
      <c r="I26" s="1">
        <v>51</v>
      </c>
      <c r="J26" s="1" t="s">
        <v>7</v>
      </c>
      <c r="K26" s="1">
        <v>48</v>
      </c>
      <c r="L26" s="1" t="s">
        <v>2</v>
      </c>
      <c r="M26" s="1">
        <v>21.9</v>
      </c>
      <c r="N26" s="1" t="s">
        <v>5</v>
      </c>
      <c r="O26" s="1">
        <v>36</v>
      </c>
      <c r="P26" s="1" t="s">
        <v>7</v>
      </c>
      <c r="Q26" s="1">
        <v>46</v>
      </c>
      <c r="R26" s="1" t="s">
        <v>7</v>
      </c>
      <c r="S26" s="1">
        <v>84.9</v>
      </c>
      <c r="T26" s="1" t="s">
        <v>5</v>
      </c>
      <c r="U26" s="1">
        <v>436.4</v>
      </c>
      <c r="V26" s="1" t="s">
        <v>5</v>
      </c>
    </row>
    <row r="27" ht="15" customHeight="1" spans="1:22">
      <c r="A27" s="1" t="s">
        <v>183</v>
      </c>
      <c r="B27" s="1" t="s">
        <v>51</v>
      </c>
      <c r="C27" s="1">
        <v>86</v>
      </c>
      <c r="D27" s="1" t="s">
        <v>5</v>
      </c>
      <c r="E27" s="1">
        <v>82</v>
      </c>
      <c r="F27" s="1" t="s">
        <v>5</v>
      </c>
      <c r="G27" s="1">
        <v>59</v>
      </c>
      <c r="H27" s="1" t="s">
        <v>5</v>
      </c>
      <c r="I27" s="1">
        <v>52</v>
      </c>
      <c r="J27" s="1" t="s">
        <v>7</v>
      </c>
      <c r="K27" s="1">
        <v>36.5</v>
      </c>
      <c r="L27" s="1" t="s">
        <v>7</v>
      </c>
      <c r="M27" s="1">
        <v>21.6</v>
      </c>
      <c r="N27" s="1" t="s">
        <v>5</v>
      </c>
      <c r="O27" s="1">
        <v>39</v>
      </c>
      <c r="P27" s="1" t="s">
        <v>5</v>
      </c>
      <c r="Q27" s="1">
        <v>57.5</v>
      </c>
      <c r="R27" s="1" t="s">
        <v>3</v>
      </c>
      <c r="S27" s="1">
        <v>80.6</v>
      </c>
      <c r="T27" s="1" t="s">
        <v>5</v>
      </c>
      <c r="U27" s="1">
        <v>433.6</v>
      </c>
      <c r="V27" s="1" t="s">
        <v>5</v>
      </c>
    </row>
    <row r="28" ht="15" customHeight="1" spans="1:22">
      <c r="A28" s="1" t="s">
        <v>188</v>
      </c>
      <c r="B28" s="1" t="s">
        <v>51</v>
      </c>
      <c r="C28" s="1">
        <v>92</v>
      </c>
      <c r="D28" s="1" t="s">
        <v>5</v>
      </c>
      <c r="E28" s="1">
        <v>82</v>
      </c>
      <c r="F28" s="1" t="s">
        <v>5</v>
      </c>
      <c r="G28" s="1">
        <v>51</v>
      </c>
      <c r="H28" s="1" t="s">
        <v>5</v>
      </c>
      <c r="I28" s="1">
        <v>58</v>
      </c>
      <c r="J28" s="1" t="s">
        <v>5</v>
      </c>
      <c r="K28" s="1">
        <v>42</v>
      </c>
      <c r="L28" s="1" t="s">
        <v>3</v>
      </c>
      <c r="M28" s="1">
        <v>19.6</v>
      </c>
      <c r="N28" s="1" t="s">
        <v>5</v>
      </c>
      <c r="O28" s="1">
        <v>33</v>
      </c>
      <c r="P28" s="1" t="s">
        <v>7</v>
      </c>
      <c r="Q28" s="1">
        <v>55.5</v>
      </c>
      <c r="R28" s="1" t="s">
        <v>5</v>
      </c>
      <c r="S28" s="1">
        <v>70.6</v>
      </c>
      <c r="T28" s="1" t="s">
        <v>5</v>
      </c>
      <c r="U28" s="1">
        <v>433.1</v>
      </c>
      <c r="V28" s="1" t="s">
        <v>5</v>
      </c>
    </row>
    <row r="29" ht="15" customHeight="1" spans="1:22">
      <c r="A29" s="1" t="s">
        <v>193</v>
      </c>
      <c r="B29" s="1" t="s">
        <v>51</v>
      </c>
      <c r="C29" s="1">
        <v>98</v>
      </c>
      <c r="D29" s="1" t="s">
        <v>3</v>
      </c>
      <c r="E29" s="1">
        <v>72</v>
      </c>
      <c r="F29" s="1" t="s">
        <v>7</v>
      </c>
      <c r="G29" s="1">
        <v>59</v>
      </c>
      <c r="H29" s="1" t="s">
        <v>5</v>
      </c>
      <c r="I29" s="1">
        <v>58.5</v>
      </c>
      <c r="J29" s="1" t="s">
        <v>5</v>
      </c>
      <c r="K29" s="1">
        <v>42</v>
      </c>
      <c r="L29" s="1" t="s">
        <v>3</v>
      </c>
      <c r="M29" s="1">
        <v>22.1</v>
      </c>
      <c r="N29" s="1" t="s">
        <v>3</v>
      </c>
      <c r="O29" s="1">
        <v>41</v>
      </c>
      <c r="P29" s="1" t="s">
        <v>5</v>
      </c>
      <c r="Q29" s="1">
        <v>39</v>
      </c>
      <c r="R29" s="1" t="s">
        <v>7</v>
      </c>
      <c r="S29" s="1">
        <v>81.1</v>
      </c>
      <c r="T29" s="1" t="s">
        <v>5</v>
      </c>
      <c r="U29" s="1">
        <v>431.6</v>
      </c>
      <c r="V29" s="1" t="s">
        <v>5</v>
      </c>
    </row>
    <row r="30" ht="15" customHeight="1" spans="1:22">
      <c r="A30" s="1" t="s">
        <v>198</v>
      </c>
      <c r="B30" s="1" t="s">
        <v>51</v>
      </c>
      <c r="C30" s="1">
        <v>88.5</v>
      </c>
      <c r="D30" s="1" t="s">
        <v>5</v>
      </c>
      <c r="E30" s="1">
        <v>79</v>
      </c>
      <c r="F30" s="1" t="s">
        <v>5</v>
      </c>
      <c r="G30" s="1">
        <v>57.5</v>
      </c>
      <c r="H30" s="1" t="s">
        <v>5</v>
      </c>
      <c r="I30" s="1">
        <v>58.5</v>
      </c>
      <c r="J30" s="1" t="s">
        <v>5</v>
      </c>
      <c r="K30" s="1">
        <v>36</v>
      </c>
      <c r="L30" s="1" t="s">
        <v>7</v>
      </c>
      <c r="M30" s="1">
        <v>22.6</v>
      </c>
      <c r="N30" s="1" t="s">
        <v>3</v>
      </c>
      <c r="O30" s="1">
        <v>42.5</v>
      </c>
      <c r="P30" s="1" t="s">
        <v>5</v>
      </c>
      <c r="Q30" s="1">
        <v>45.5</v>
      </c>
      <c r="R30" s="1" t="s">
        <v>7</v>
      </c>
      <c r="S30" s="1">
        <v>80.1</v>
      </c>
      <c r="T30" s="1" t="s">
        <v>5</v>
      </c>
      <c r="U30" s="1">
        <v>430.1</v>
      </c>
      <c r="V30" s="1" t="s">
        <v>5</v>
      </c>
    </row>
    <row r="31" ht="15" customHeight="1" spans="1:22">
      <c r="A31" s="1" t="s">
        <v>203</v>
      </c>
      <c r="B31" s="1" t="s">
        <v>51</v>
      </c>
      <c r="C31" s="1">
        <v>79.5</v>
      </c>
      <c r="D31" s="1" t="s">
        <v>7</v>
      </c>
      <c r="E31" s="1">
        <v>81</v>
      </c>
      <c r="F31" s="1" t="s">
        <v>5</v>
      </c>
      <c r="G31" s="1">
        <v>59.5</v>
      </c>
      <c r="H31" s="1" t="s">
        <v>5</v>
      </c>
      <c r="I31" s="1">
        <v>57</v>
      </c>
      <c r="J31" s="1" t="s">
        <v>5</v>
      </c>
      <c r="K31" s="1">
        <v>40</v>
      </c>
      <c r="L31" s="1" t="s">
        <v>5</v>
      </c>
      <c r="M31" s="1">
        <v>20.5</v>
      </c>
      <c r="N31" s="1" t="s">
        <v>5</v>
      </c>
      <c r="O31" s="1">
        <v>42</v>
      </c>
      <c r="P31" s="1" t="s">
        <v>5</v>
      </c>
      <c r="Q31" s="1">
        <v>48</v>
      </c>
      <c r="R31" s="1" t="s">
        <v>5</v>
      </c>
      <c r="S31" s="1">
        <v>80</v>
      </c>
      <c r="T31" s="1" t="s">
        <v>5</v>
      </c>
      <c r="U31" s="1">
        <v>427.5</v>
      </c>
      <c r="V31" s="1" t="s">
        <v>5</v>
      </c>
    </row>
    <row r="32" ht="15" customHeight="1" spans="1:22">
      <c r="A32" s="1" t="s">
        <v>208</v>
      </c>
      <c r="B32" s="1" t="s">
        <v>51</v>
      </c>
      <c r="C32" s="1">
        <v>82</v>
      </c>
      <c r="D32" s="1" t="s">
        <v>7</v>
      </c>
      <c r="E32" s="1">
        <v>87</v>
      </c>
      <c r="F32" s="1" t="s">
        <v>3</v>
      </c>
      <c r="G32" s="1">
        <v>55</v>
      </c>
      <c r="H32" s="1" t="s">
        <v>5</v>
      </c>
      <c r="I32" s="1">
        <v>50.5</v>
      </c>
      <c r="J32" s="1" t="s">
        <v>7</v>
      </c>
      <c r="K32" s="1">
        <v>36</v>
      </c>
      <c r="L32" s="1" t="s">
        <v>7</v>
      </c>
      <c r="M32" s="1">
        <v>20.7</v>
      </c>
      <c r="N32" s="1" t="s">
        <v>5</v>
      </c>
      <c r="O32" s="1">
        <v>40</v>
      </c>
      <c r="P32" s="1" t="s">
        <v>5</v>
      </c>
      <c r="Q32" s="1">
        <v>53.5</v>
      </c>
      <c r="R32" s="1" t="s">
        <v>5</v>
      </c>
      <c r="S32" s="1">
        <v>75.7</v>
      </c>
      <c r="T32" s="1" t="s">
        <v>5</v>
      </c>
      <c r="U32" s="1">
        <v>424.7</v>
      </c>
      <c r="V32" s="1" t="s">
        <v>5</v>
      </c>
    </row>
    <row r="33" ht="15" customHeight="1" spans="1:22">
      <c r="A33" s="1" t="s">
        <v>213</v>
      </c>
      <c r="B33" s="1" t="s">
        <v>51</v>
      </c>
      <c r="C33" s="1">
        <v>90.5</v>
      </c>
      <c r="D33" s="1" t="s">
        <v>5</v>
      </c>
      <c r="E33" s="1">
        <v>81</v>
      </c>
      <c r="F33" s="1" t="s">
        <v>5</v>
      </c>
      <c r="G33" s="1">
        <v>59</v>
      </c>
      <c r="H33" s="1" t="s">
        <v>5</v>
      </c>
      <c r="I33" s="1">
        <v>47.5</v>
      </c>
      <c r="J33" s="1" t="s">
        <v>7</v>
      </c>
      <c r="K33" s="1">
        <v>39</v>
      </c>
      <c r="L33" s="1" t="s">
        <v>5</v>
      </c>
      <c r="M33" s="1">
        <v>21.9</v>
      </c>
      <c r="N33" s="1" t="s">
        <v>5</v>
      </c>
      <c r="O33" s="1">
        <v>28.5</v>
      </c>
      <c r="P33" s="1" t="s">
        <v>7</v>
      </c>
      <c r="Q33" s="1">
        <v>52</v>
      </c>
      <c r="R33" s="1" t="s">
        <v>5</v>
      </c>
      <c r="S33" s="1">
        <v>80.9</v>
      </c>
      <c r="T33" s="1" t="s">
        <v>5</v>
      </c>
      <c r="U33" s="1">
        <v>419.4</v>
      </c>
      <c r="V33" s="1" t="s">
        <v>5</v>
      </c>
    </row>
    <row r="34" ht="15" customHeight="1" spans="1:22">
      <c r="A34" s="1" t="s">
        <v>218</v>
      </c>
      <c r="B34" s="1" t="s">
        <v>51</v>
      </c>
      <c r="C34" s="1">
        <v>89</v>
      </c>
      <c r="D34" s="1" t="s">
        <v>5</v>
      </c>
      <c r="E34" s="1">
        <v>78</v>
      </c>
      <c r="F34" s="1" t="s">
        <v>5</v>
      </c>
      <c r="G34" s="1">
        <v>35</v>
      </c>
      <c r="H34" s="1" t="s">
        <v>7</v>
      </c>
      <c r="I34" s="1">
        <v>56</v>
      </c>
      <c r="J34" s="1" t="s">
        <v>5</v>
      </c>
      <c r="K34" s="1">
        <v>42</v>
      </c>
      <c r="L34" s="1" t="s">
        <v>3</v>
      </c>
      <c r="M34" s="1">
        <v>12.4</v>
      </c>
      <c r="N34" s="1" t="s">
        <v>7</v>
      </c>
      <c r="O34" s="1">
        <v>39</v>
      </c>
      <c r="P34" s="1" t="s">
        <v>5</v>
      </c>
      <c r="Q34" s="1">
        <v>49</v>
      </c>
      <c r="R34" s="1" t="s">
        <v>5</v>
      </c>
      <c r="S34" s="1">
        <v>47.4</v>
      </c>
      <c r="T34" s="1" t="s">
        <v>7</v>
      </c>
      <c r="U34" s="1">
        <v>400.4</v>
      </c>
      <c r="V34" s="1" t="s">
        <v>7</v>
      </c>
    </row>
    <row r="35" ht="15" customHeight="1" spans="1:22">
      <c r="A35" s="1" t="s">
        <v>223</v>
      </c>
      <c r="B35" s="1" t="s">
        <v>51</v>
      </c>
      <c r="C35" s="1">
        <v>81.5</v>
      </c>
      <c r="D35" s="1" t="s">
        <v>7</v>
      </c>
      <c r="E35" s="1">
        <v>78</v>
      </c>
      <c r="F35" s="1" t="s">
        <v>5</v>
      </c>
      <c r="G35" s="1">
        <v>47</v>
      </c>
      <c r="H35" s="1" t="s">
        <v>7</v>
      </c>
      <c r="I35" s="1">
        <v>46</v>
      </c>
      <c r="J35" s="1" t="s">
        <v>7</v>
      </c>
      <c r="K35" s="1">
        <v>37</v>
      </c>
      <c r="L35" s="1" t="s">
        <v>7</v>
      </c>
      <c r="M35" s="1">
        <v>17.6</v>
      </c>
      <c r="N35" s="1" t="s">
        <v>7</v>
      </c>
      <c r="O35" s="1">
        <v>34</v>
      </c>
      <c r="P35" s="1" t="s">
        <v>7</v>
      </c>
      <c r="Q35" s="1">
        <v>40.5</v>
      </c>
      <c r="R35" s="1" t="s">
        <v>7</v>
      </c>
      <c r="S35" s="1">
        <v>64.6</v>
      </c>
      <c r="T35" s="1" t="s">
        <v>7</v>
      </c>
      <c r="U35" s="1">
        <v>381.6</v>
      </c>
      <c r="V35" s="1" t="s">
        <v>7</v>
      </c>
    </row>
    <row r="36" ht="15" customHeight="1" spans="1:22">
      <c r="A36" s="1" t="s">
        <v>228</v>
      </c>
      <c r="B36" s="1" t="s">
        <v>51</v>
      </c>
      <c r="C36" s="1">
        <v>82</v>
      </c>
      <c r="D36" s="1" t="s">
        <v>7</v>
      </c>
      <c r="E36" s="1">
        <v>81</v>
      </c>
      <c r="F36" s="1" t="s">
        <v>5</v>
      </c>
      <c r="G36" s="1">
        <v>45</v>
      </c>
      <c r="H36" s="1" t="s">
        <v>7</v>
      </c>
      <c r="I36" s="1">
        <v>41.5</v>
      </c>
      <c r="J36" s="1" t="s">
        <v>9</v>
      </c>
      <c r="K36" s="1">
        <v>37</v>
      </c>
      <c r="L36" s="1" t="s">
        <v>7</v>
      </c>
      <c r="M36" s="1">
        <v>18.4</v>
      </c>
      <c r="N36" s="1" t="s">
        <v>5</v>
      </c>
      <c r="O36" s="1">
        <v>31</v>
      </c>
      <c r="P36" s="1" t="s">
        <v>7</v>
      </c>
      <c r="Q36" s="1">
        <v>40</v>
      </c>
      <c r="R36" s="1" t="s">
        <v>7</v>
      </c>
      <c r="S36" s="1">
        <v>63.4</v>
      </c>
      <c r="T36" s="1" t="s">
        <v>7</v>
      </c>
      <c r="U36" s="1">
        <v>375.9</v>
      </c>
      <c r="V36" s="1" t="s">
        <v>7</v>
      </c>
    </row>
    <row r="37" ht="15" customHeight="1" spans="1:22">
      <c r="A37" s="1" t="s">
        <v>233</v>
      </c>
      <c r="B37" s="1" t="s">
        <v>51</v>
      </c>
      <c r="C37" s="1">
        <v>82.5</v>
      </c>
      <c r="D37" s="1" t="s">
        <v>7</v>
      </c>
      <c r="E37" s="1">
        <v>67</v>
      </c>
      <c r="F37" s="1" t="s">
        <v>7</v>
      </c>
      <c r="G37" s="1">
        <v>60.5</v>
      </c>
      <c r="H37" s="1" t="s">
        <v>5</v>
      </c>
      <c r="I37" s="1">
        <v>46</v>
      </c>
      <c r="J37" s="1" t="s">
        <v>7</v>
      </c>
      <c r="K37" s="1">
        <v>35</v>
      </c>
      <c r="L37" s="1" t="s">
        <v>7</v>
      </c>
      <c r="M37" s="1">
        <v>20.3</v>
      </c>
      <c r="N37" s="1" t="s">
        <v>5</v>
      </c>
      <c r="O37" s="1">
        <v>26</v>
      </c>
      <c r="P37" s="1" t="s">
        <v>7</v>
      </c>
      <c r="Q37" s="1">
        <v>38.5</v>
      </c>
      <c r="R37" s="1" t="s">
        <v>7</v>
      </c>
      <c r="S37" s="1">
        <v>80.8</v>
      </c>
      <c r="T37" s="1" t="s">
        <v>5</v>
      </c>
      <c r="U37" s="1">
        <v>375.8</v>
      </c>
      <c r="V37" s="1" t="s">
        <v>7</v>
      </c>
    </row>
    <row r="38" ht="15" customHeight="1" spans="1:22">
      <c r="A38" s="1" t="s">
        <v>238</v>
      </c>
      <c r="B38" s="1" t="s">
        <v>51</v>
      </c>
      <c r="C38" s="1">
        <v>81.5</v>
      </c>
      <c r="D38" s="1" t="s">
        <v>7</v>
      </c>
      <c r="E38" s="1">
        <v>78</v>
      </c>
      <c r="F38" s="1" t="s">
        <v>5</v>
      </c>
      <c r="G38" s="1">
        <v>29</v>
      </c>
      <c r="H38" s="1" t="s">
        <v>7</v>
      </c>
      <c r="I38" s="1">
        <v>51.5</v>
      </c>
      <c r="J38" s="1" t="s">
        <v>7</v>
      </c>
      <c r="K38" s="1">
        <v>38</v>
      </c>
      <c r="L38" s="1" t="s">
        <v>5</v>
      </c>
      <c r="M38" s="1">
        <v>17.4</v>
      </c>
      <c r="N38" s="1" t="s">
        <v>7</v>
      </c>
      <c r="O38" s="1">
        <v>24</v>
      </c>
      <c r="P38" s="1" t="s">
        <v>9</v>
      </c>
      <c r="Q38" s="1">
        <v>49</v>
      </c>
      <c r="R38" s="1" t="s">
        <v>5</v>
      </c>
      <c r="S38" s="1">
        <v>46.4</v>
      </c>
      <c r="T38" s="1" t="s">
        <v>7</v>
      </c>
      <c r="U38" s="1">
        <v>368.4</v>
      </c>
      <c r="V38" s="1" t="s">
        <v>7</v>
      </c>
    </row>
    <row r="39" ht="15" customHeight="1" spans="1:22">
      <c r="A39" s="1" t="s">
        <v>243</v>
      </c>
      <c r="B39" s="1" t="s">
        <v>51</v>
      </c>
      <c r="C39" s="1">
        <v>86</v>
      </c>
      <c r="D39" s="1" t="s">
        <v>5</v>
      </c>
      <c r="E39" s="1">
        <v>72</v>
      </c>
      <c r="F39" s="1" t="s">
        <v>7</v>
      </c>
      <c r="G39" s="1">
        <v>44</v>
      </c>
      <c r="H39" s="1" t="s">
        <v>7</v>
      </c>
      <c r="I39" s="1">
        <v>47</v>
      </c>
      <c r="J39" s="1" t="s">
        <v>7</v>
      </c>
      <c r="K39" s="1">
        <v>36.5</v>
      </c>
      <c r="L39" s="1" t="s">
        <v>7</v>
      </c>
      <c r="M39" s="1">
        <v>18</v>
      </c>
      <c r="N39" s="1" t="s">
        <v>7</v>
      </c>
      <c r="O39" s="1">
        <v>23.5</v>
      </c>
      <c r="P39" s="1" t="s">
        <v>9</v>
      </c>
      <c r="Q39" s="1">
        <v>41</v>
      </c>
      <c r="R39" s="1" t="s">
        <v>7</v>
      </c>
      <c r="S39" s="1">
        <v>62</v>
      </c>
      <c r="T39" s="1" t="s">
        <v>7</v>
      </c>
      <c r="U39" s="1">
        <v>368</v>
      </c>
      <c r="V39" s="1" t="s">
        <v>7</v>
      </c>
    </row>
    <row r="40" ht="15" customHeight="1" spans="1:22">
      <c r="A40" s="1" t="s">
        <v>248</v>
      </c>
      <c r="B40" s="1" t="s">
        <v>51</v>
      </c>
      <c r="C40" s="1">
        <v>82.5</v>
      </c>
      <c r="D40" s="1" t="s">
        <v>7</v>
      </c>
      <c r="E40" s="1">
        <v>85</v>
      </c>
      <c r="F40" s="1" t="s">
        <v>3</v>
      </c>
      <c r="G40" s="1">
        <v>23</v>
      </c>
      <c r="H40" s="1" t="s">
        <v>9</v>
      </c>
      <c r="I40" s="1">
        <v>51.5</v>
      </c>
      <c r="J40" s="1" t="s">
        <v>7</v>
      </c>
      <c r="K40" s="1">
        <v>35.5</v>
      </c>
      <c r="L40" s="1" t="s">
        <v>7</v>
      </c>
      <c r="M40" s="1">
        <v>12.3</v>
      </c>
      <c r="N40" s="1" t="s">
        <v>9</v>
      </c>
      <c r="O40" s="1">
        <v>27</v>
      </c>
      <c r="P40" s="1" t="s">
        <v>7</v>
      </c>
      <c r="Q40" s="1">
        <v>38</v>
      </c>
      <c r="R40" s="1" t="s">
        <v>7</v>
      </c>
      <c r="S40" s="1">
        <v>35.3</v>
      </c>
      <c r="T40" s="1" t="s">
        <v>9</v>
      </c>
      <c r="U40" s="1">
        <v>354.8</v>
      </c>
      <c r="V40" s="1" t="s">
        <v>7</v>
      </c>
    </row>
    <row r="41" ht="15" customHeight="1" spans="1:22">
      <c r="A41" s="1" t="s">
        <v>253</v>
      </c>
      <c r="B41" s="1" t="s">
        <v>51</v>
      </c>
      <c r="C41" s="1">
        <v>77</v>
      </c>
      <c r="D41" s="1" t="s">
        <v>7</v>
      </c>
      <c r="E41" s="1">
        <v>77</v>
      </c>
      <c r="F41" s="1" t="s">
        <v>5</v>
      </c>
      <c r="G41" s="1">
        <v>36</v>
      </c>
      <c r="H41" s="1" t="s">
        <v>7</v>
      </c>
      <c r="I41" s="1">
        <v>46.5</v>
      </c>
      <c r="J41" s="1" t="s">
        <v>7</v>
      </c>
      <c r="K41" s="1">
        <v>36</v>
      </c>
      <c r="L41" s="1" t="s">
        <v>7</v>
      </c>
      <c r="M41" s="1">
        <v>14.4</v>
      </c>
      <c r="N41" s="1" t="s">
        <v>7</v>
      </c>
      <c r="O41" s="1">
        <v>25</v>
      </c>
      <c r="P41" s="1" t="s">
        <v>7</v>
      </c>
      <c r="Q41" s="1">
        <v>41</v>
      </c>
      <c r="R41" s="1" t="s">
        <v>7</v>
      </c>
      <c r="S41" s="1">
        <v>50.4</v>
      </c>
      <c r="T41" s="1" t="s">
        <v>7</v>
      </c>
      <c r="U41" s="1">
        <v>352.9</v>
      </c>
      <c r="V41" s="1" t="s">
        <v>7</v>
      </c>
    </row>
    <row r="42" ht="15" customHeight="1" spans="1:22">
      <c r="A42" s="1" t="s">
        <v>258</v>
      </c>
      <c r="B42" s="1" t="s">
        <v>51</v>
      </c>
      <c r="C42" s="1">
        <v>77.5</v>
      </c>
      <c r="D42" s="1" t="s">
        <v>7</v>
      </c>
      <c r="E42" s="1">
        <v>65</v>
      </c>
      <c r="F42" s="1" t="s">
        <v>7</v>
      </c>
      <c r="G42" s="1">
        <v>33.5</v>
      </c>
      <c r="H42" s="1" t="s">
        <v>7</v>
      </c>
      <c r="I42" s="1">
        <v>50.5</v>
      </c>
      <c r="J42" s="1" t="s">
        <v>7</v>
      </c>
      <c r="K42" s="1">
        <v>38</v>
      </c>
      <c r="L42" s="1" t="s">
        <v>5</v>
      </c>
      <c r="M42" s="1">
        <v>15.4</v>
      </c>
      <c r="N42" s="1" t="s">
        <v>7</v>
      </c>
      <c r="O42" s="1">
        <v>21</v>
      </c>
      <c r="P42" s="1" t="s">
        <v>9</v>
      </c>
      <c r="Q42" s="1">
        <v>33</v>
      </c>
      <c r="R42" s="1" t="s">
        <v>7</v>
      </c>
      <c r="S42" s="1">
        <v>48.9</v>
      </c>
      <c r="T42" s="1" t="s">
        <v>7</v>
      </c>
      <c r="U42" s="1">
        <v>333.9</v>
      </c>
      <c r="V42" s="1" t="s">
        <v>7</v>
      </c>
    </row>
    <row r="43" ht="15" customHeight="1" spans="1:22">
      <c r="A43" s="1" t="s">
        <v>263</v>
      </c>
      <c r="B43" s="1" t="s">
        <v>51</v>
      </c>
      <c r="C43" s="1">
        <v>78</v>
      </c>
      <c r="D43" s="1" t="s">
        <v>7</v>
      </c>
      <c r="E43" s="1">
        <v>61</v>
      </c>
      <c r="F43" s="1" t="s">
        <v>7</v>
      </c>
      <c r="G43" s="1">
        <v>18</v>
      </c>
      <c r="H43" s="1" t="s">
        <v>9</v>
      </c>
      <c r="I43" s="1">
        <v>59</v>
      </c>
      <c r="J43" s="1" t="s">
        <v>5</v>
      </c>
      <c r="K43" s="1">
        <v>30</v>
      </c>
      <c r="L43" s="1" t="s">
        <v>9</v>
      </c>
      <c r="M43" s="1">
        <v>10.4</v>
      </c>
      <c r="N43" s="1" t="s">
        <v>9</v>
      </c>
      <c r="O43" s="1">
        <v>26.5</v>
      </c>
      <c r="P43" s="1" t="s">
        <v>7</v>
      </c>
      <c r="Q43" s="1">
        <v>34.5</v>
      </c>
      <c r="R43" s="1" t="s">
        <v>7</v>
      </c>
      <c r="S43" s="1">
        <v>28.4</v>
      </c>
      <c r="T43" s="1" t="s">
        <v>9</v>
      </c>
      <c r="U43" s="1">
        <v>317.4</v>
      </c>
      <c r="V43" s="1" t="s">
        <v>7</v>
      </c>
    </row>
    <row r="44" ht="15" customHeight="1" spans="1:22">
      <c r="A44" s="1" t="s">
        <v>268</v>
      </c>
      <c r="B44" s="1" t="s">
        <v>51</v>
      </c>
      <c r="C44" s="1">
        <v>62</v>
      </c>
      <c r="D44" s="1" t="s">
        <v>9</v>
      </c>
      <c r="E44" s="1">
        <v>72</v>
      </c>
      <c r="F44" s="1" t="s">
        <v>7</v>
      </c>
      <c r="G44" s="1">
        <v>26.5</v>
      </c>
      <c r="H44" s="1" t="s">
        <v>9</v>
      </c>
      <c r="I44" s="1">
        <v>38</v>
      </c>
      <c r="J44" s="1" t="s">
        <v>9</v>
      </c>
      <c r="K44" s="1">
        <v>25.5</v>
      </c>
      <c r="L44" s="1" t="s">
        <v>9</v>
      </c>
      <c r="M44" s="1">
        <v>8.4</v>
      </c>
      <c r="N44" s="1" t="s">
        <v>9</v>
      </c>
      <c r="O44" s="1">
        <v>16.5</v>
      </c>
      <c r="P44" s="1" t="s">
        <v>9</v>
      </c>
      <c r="Q44" s="1">
        <v>24.5</v>
      </c>
      <c r="R44" s="1" t="s">
        <v>9</v>
      </c>
      <c r="S44" s="1">
        <v>34.9</v>
      </c>
      <c r="T44" s="1" t="s">
        <v>9</v>
      </c>
      <c r="U44" s="1">
        <v>273.4</v>
      </c>
      <c r="V44" s="1" t="s">
        <v>9</v>
      </c>
    </row>
    <row r="45" ht="15" customHeight="1" spans="1:22">
      <c r="A45" s="1" t="s">
        <v>273</v>
      </c>
      <c r="B45" s="1" t="s">
        <v>51</v>
      </c>
      <c r="C45" s="1">
        <v>73</v>
      </c>
      <c r="D45" s="1" t="s">
        <v>9</v>
      </c>
      <c r="E45" s="1">
        <v>33</v>
      </c>
      <c r="F45" s="1" t="s">
        <v>9</v>
      </c>
      <c r="G45" s="1">
        <v>22.5</v>
      </c>
      <c r="H45" s="1" t="s">
        <v>9</v>
      </c>
      <c r="I45" s="1">
        <v>38.5</v>
      </c>
      <c r="J45" s="1" t="s">
        <v>9</v>
      </c>
      <c r="K45" s="1">
        <v>26</v>
      </c>
      <c r="L45" s="1" t="s">
        <v>9</v>
      </c>
      <c r="M45" s="1">
        <v>8.2</v>
      </c>
      <c r="N45" s="1" t="s">
        <v>9</v>
      </c>
      <c r="O45" s="1">
        <v>21.5</v>
      </c>
      <c r="P45" s="1" t="s">
        <v>9</v>
      </c>
      <c r="Q45" s="1">
        <v>19.5</v>
      </c>
      <c r="R45" s="1" t="s">
        <v>9</v>
      </c>
      <c r="S45" s="1">
        <v>30.7</v>
      </c>
      <c r="T45" s="1" t="s">
        <v>9</v>
      </c>
      <c r="U45" s="1">
        <v>242.2</v>
      </c>
      <c r="V45" s="1" t="s">
        <v>9</v>
      </c>
    </row>
    <row r="46" ht="15" customHeight="1" spans="1:22">
      <c r="A46" s="1" t="s">
        <v>278</v>
      </c>
      <c r="B46" s="1" t="s">
        <v>51</v>
      </c>
      <c r="C46" s="1">
        <v>36.5</v>
      </c>
      <c r="D46" s="1" t="s">
        <v>10</v>
      </c>
      <c r="E46" s="1">
        <v>11</v>
      </c>
      <c r="F46" s="1" t="s">
        <v>10</v>
      </c>
      <c r="G46" s="1">
        <v>14.5</v>
      </c>
      <c r="H46" s="1" t="s">
        <v>9</v>
      </c>
      <c r="I46" s="1">
        <v>12</v>
      </c>
      <c r="J46" s="1" t="s">
        <v>10</v>
      </c>
      <c r="K46" s="1">
        <v>13.5</v>
      </c>
      <c r="L46" s="1" t="s">
        <v>10</v>
      </c>
      <c r="M46" s="1">
        <v>6.3</v>
      </c>
      <c r="N46" s="1" t="s">
        <v>9</v>
      </c>
      <c r="O46" s="1">
        <v>5.5</v>
      </c>
      <c r="P46" s="1" t="s">
        <v>10</v>
      </c>
      <c r="Q46" s="1">
        <v>21</v>
      </c>
      <c r="R46" s="1" t="s">
        <v>9</v>
      </c>
      <c r="S46" s="1">
        <v>20.8</v>
      </c>
      <c r="T46" s="1" t="s">
        <v>9</v>
      </c>
      <c r="U46" s="1">
        <v>120.3</v>
      </c>
      <c r="V46" s="1" t="s">
        <v>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"/>
  <sheetViews>
    <sheetView showGridLines="0" workbookViewId="0">
      <selection activeCell="A1" sqref="A1"/>
    </sheetView>
  </sheetViews>
  <sheetFormatPr defaultColWidth="9" defaultRowHeight="13.5"/>
  <sheetData>
    <row r="1" ht="15" customHeight="1" spans="1:22">
      <c r="A1" s="1" t="s">
        <v>288</v>
      </c>
      <c r="B1" s="1" t="s">
        <v>289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313</v>
      </c>
    </row>
    <row r="2" ht="15" customHeight="1" spans="1:22">
      <c r="A2" s="1" t="s">
        <v>58</v>
      </c>
      <c r="B2" s="1" t="s">
        <v>53</v>
      </c>
      <c r="C2" s="1">
        <v>107</v>
      </c>
      <c r="D2" s="1" t="s">
        <v>2</v>
      </c>
      <c r="E2" s="1">
        <v>90</v>
      </c>
      <c r="F2" s="1" t="s">
        <v>3</v>
      </c>
      <c r="G2" s="1">
        <v>72.5</v>
      </c>
      <c r="H2" s="1" t="s">
        <v>2</v>
      </c>
      <c r="I2" s="1">
        <v>62</v>
      </c>
      <c r="J2" s="1" t="s">
        <v>3</v>
      </c>
      <c r="K2" s="1">
        <v>47</v>
      </c>
      <c r="L2" s="1" t="s">
        <v>2</v>
      </c>
      <c r="M2" s="1">
        <v>24</v>
      </c>
      <c r="N2" s="1" t="s">
        <v>2</v>
      </c>
      <c r="O2" s="1">
        <v>42.5</v>
      </c>
      <c r="P2" s="1" t="s">
        <v>5</v>
      </c>
      <c r="Q2" s="1">
        <v>64.5</v>
      </c>
      <c r="R2" s="1" t="s">
        <v>2</v>
      </c>
      <c r="S2" s="1">
        <v>96.5</v>
      </c>
      <c r="T2" s="1" t="s">
        <v>2</v>
      </c>
      <c r="U2" s="1">
        <v>509.5</v>
      </c>
      <c r="V2" s="1" t="s">
        <v>2</v>
      </c>
    </row>
    <row r="3" ht="15" customHeight="1" spans="1:22">
      <c r="A3" s="1" t="s">
        <v>63</v>
      </c>
      <c r="B3" s="1" t="s">
        <v>53</v>
      </c>
      <c r="C3" s="1">
        <v>103.5</v>
      </c>
      <c r="D3" s="1" t="s">
        <v>2</v>
      </c>
      <c r="E3" s="1">
        <v>83</v>
      </c>
      <c r="F3" s="1" t="s">
        <v>3</v>
      </c>
      <c r="G3" s="1">
        <v>74</v>
      </c>
      <c r="H3" s="1" t="s">
        <v>2</v>
      </c>
      <c r="I3" s="1">
        <v>62.5</v>
      </c>
      <c r="J3" s="1" t="s">
        <v>3</v>
      </c>
      <c r="K3" s="1">
        <v>47.5</v>
      </c>
      <c r="L3" s="1" t="s">
        <v>2</v>
      </c>
      <c r="M3" s="1">
        <v>24.4</v>
      </c>
      <c r="N3" s="1" t="s">
        <v>2</v>
      </c>
      <c r="O3" s="1">
        <v>48.5</v>
      </c>
      <c r="P3" s="1" t="s">
        <v>2</v>
      </c>
      <c r="Q3" s="1">
        <v>62</v>
      </c>
      <c r="R3" s="1" t="s">
        <v>3</v>
      </c>
      <c r="S3" s="1">
        <v>98.4</v>
      </c>
      <c r="T3" s="1" t="s">
        <v>2</v>
      </c>
      <c r="U3" s="1">
        <v>505.4</v>
      </c>
      <c r="V3" s="1" t="s">
        <v>2</v>
      </c>
    </row>
    <row r="4" ht="15" customHeight="1" spans="1:22">
      <c r="A4" s="1" t="s">
        <v>68</v>
      </c>
      <c r="B4" s="1" t="s">
        <v>53</v>
      </c>
      <c r="C4" s="1">
        <v>102.5</v>
      </c>
      <c r="D4" s="1" t="s">
        <v>2</v>
      </c>
      <c r="E4" s="1">
        <v>81</v>
      </c>
      <c r="F4" s="1" t="s">
        <v>5</v>
      </c>
      <c r="G4" s="1">
        <v>71.5</v>
      </c>
      <c r="H4" s="1" t="s">
        <v>2</v>
      </c>
      <c r="I4" s="1">
        <v>67</v>
      </c>
      <c r="J4" s="1" t="s">
        <v>2</v>
      </c>
      <c r="K4" s="1">
        <v>47.5</v>
      </c>
      <c r="L4" s="1" t="s">
        <v>2</v>
      </c>
      <c r="M4" s="1">
        <v>23.2</v>
      </c>
      <c r="N4" s="1" t="s">
        <v>3</v>
      </c>
      <c r="O4" s="1">
        <v>41.5</v>
      </c>
      <c r="P4" s="1" t="s">
        <v>5</v>
      </c>
      <c r="Q4" s="1">
        <v>65</v>
      </c>
      <c r="R4" s="1" t="s">
        <v>2</v>
      </c>
      <c r="S4" s="1">
        <v>94.7</v>
      </c>
      <c r="T4" s="1" t="s">
        <v>2</v>
      </c>
      <c r="U4" s="1">
        <v>499.2</v>
      </c>
      <c r="V4" s="1" t="s">
        <v>2</v>
      </c>
    </row>
    <row r="5" ht="15" customHeight="1" spans="1:22">
      <c r="A5" s="1" t="s">
        <v>73</v>
      </c>
      <c r="B5" s="1" t="s">
        <v>53</v>
      </c>
      <c r="C5" s="1">
        <v>100.5</v>
      </c>
      <c r="D5" s="1" t="s">
        <v>2</v>
      </c>
      <c r="E5" s="1">
        <v>88</v>
      </c>
      <c r="F5" s="1" t="s">
        <v>3</v>
      </c>
      <c r="G5" s="1">
        <v>68</v>
      </c>
      <c r="H5" s="1" t="s">
        <v>3</v>
      </c>
      <c r="I5" s="1">
        <v>63.5</v>
      </c>
      <c r="J5" s="1" t="s">
        <v>3</v>
      </c>
      <c r="K5" s="1">
        <v>41.5</v>
      </c>
      <c r="L5" s="1" t="s">
        <v>3</v>
      </c>
      <c r="M5" s="1">
        <v>24.1</v>
      </c>
      <c r="N5" s="1" t="s">
        <v>2</v>
      </c>
      <c r="O5" s="1">
        <v>48</v>
      </c>
      <c r="P5" s="1" t="s">
        <v>2</v>
      </c>
      <c r="Q5" s="1">
        <v>62</v>
      </c>
      <c r="R5" s="1" t="s">
        <v>3</v>
      </c>
      <c r="S5" s="1">
        <v>92.1</v>
      </c>
      <c r="T5" s="1" t="s">
        <v>3</v>
      </c>
      <c r="U5" s="1">
        <v>495.6</v>
      </c>
      <c r="V5" s="1" t="s">
        <v>3</v>
      </c>
    </row>
    <row r="6" ht="15" customHeight="1" spans="1:22">
      <c r="A6" s="1" t="s">
        <v>78</v>
      </c>
      <c r="B6" s="1" t="s">
        <v>53</v>
      </c>
      <c r="C6" s="1">
        <v>96</v>
      </c>
      <c r="D6" s="1" t="s">
        <v>3</v>
      </c>
      <c r="E6" s="1">
        <v>89</v>
      </c>
      <c r="F6" s="1" t="s">
        <v>3</v>
      </c>
      <c r="G6" s="1">
        <v>74</v>
      </c>
      <c r="H6" s="1" t="s">
        <v>2</v>
      </c>
      <c r="I6" s="1">
        <v>65.5</v>
      </c>
      <c r="J6" s="1" t="s">
        <v>2</v>
      </c>
      <c r="K6" s="1">
        <v>38</v>
      </c>
      <c r="L6" s="1" t="s">
        <v>5</v>
      </c>
      <c r="M6" s="1">
        <v>23.4</v>
      </c>
      <c r="N6" s="1" t="s">
        <v>3</v>
      </c>
      <c r="O6" s="1">
        <v>46.5</v>
      </c>
      <c r="P6" s="1" t="s">
        <v>3</v>
      </c>
      <c r="Q6" s="1">
        <v>56.5</v>
      </c>
      <c r="R6" s="1" t="s">
        <v>5</v>
      </c>
      <c r="S6" s="1">
        <v>97.4</v>
      </c>
      <c r="T6" s="1" t="s">
        <v>2</v>
      </c>
      <c r="U6" s="1">
        <v>488.9</v>
      </c>
      <c r="V6" s="1" t="s">
        <v>3</v>
      </c>
    </row>
    <row r="7" ht="15" customHeight="1" spans="1:22">
      <c r="A7" s="1" t="s">
        <v>84</v>
      </c>
      <c r="B7" s="1" t="s">
        <v>53</v>
      </c>
      <c r="C7" s="1">
        <v>92.5</v>
      </c>
      <c r="D7" s="1" t="s">
        <v>3</v>
      </c>
      <c r="E7" s="1">
        <v>91</v>
      </c>
      <c r="F7" s="1" t="s">
        <v>2</v>
      </c>
      <c r="G7" s="1">
        <v>67.5</v>
      </c>
      <c r="H7" s="1" t="s">
        <v>3</v>
      </c>
      <c r="I7" s="1">
        <v>63</v>
      </c>
      <c r="J7" s="1" t="s">
        <v>3</v>
      </c>
      <c r="K7" s="1">
        <v>43</v>
      </c>
      <c r="L7" s="1" t="s">
        <v>3</v>
      </c>
      <c r="M7" s="1">
        <v>23.2</v>
      </c>
      <c r="N7" s="1" t="s">
        <v>3</v>
      </c>
      <c r="O7" s="1">
        <v>44.5</v>
      </c>
      <c r="P7" s="1" t="s">
        <v>3</v>
      </c>
      <c r="Q7" s="1">
        <v>63</v>
      </c>
      <c r="R7" s="1" t="s">
        <v>3</v>
      </c>
      <c r="S7" s="1">
        <v>90.7</v>
      </c>
      <c r="T7" s="1" t="s">
        <v>3</v>
      </c>
      <c r="U7" s="1">
        <v>487.7</v>
      </c>
      <c r="V7" s="1" t="s">
        <v>3</v>
      </c>
    </row>
    <row r="8" ht="15" customHeight="1" spans="1:22">
      <c r="A8" s="1" t="s">
        <v>89</v>
      </c>
      <c r="B8" s="1" t="s">
        <v>53</v>
      </c>
      <c r="C8" s="1">
        <v>100</v>
      </c>
      <c r="D8" s="1" t="s">
        <v>3</v>
      </c>
      <c r="E8" s="1">
        <v>89</v>
      </c>
      <c r="F8" s="1" t="s">
        <v>3</v>
      </c>
      <c r="G8" s="1">
        <v>68.5</v>
      </c>
      <c r="H8" s="1" t="s">
        <v>3</v>
      </c>
      <c r="I8" s="1">
        <v>61</v>
      </c>
      <c r="J8" s="1" t="s">
        <v>3</v>
      </c>
      <c r="K8" s="1">
        <v>43.5</v>
      </c>
      <c r="L8" s="1" t="s">
        <v>3</v>
      </c>
      <c r="M8" s="1">
        <v>21.3</v>
      </c>
      <c r="N8" s="1" t="s">
        <v>5</v>
      </c>
      <c r="O8" s="1">
        <v>44.5</v>
      </c>
      <c r="P8" s="1" t="s">
        <v>3</v>
      </c>
      <c r="Q8" s="1">
        <v>55.5</v>
      </c>
      <c r="R8" s="1" t="s">
        <v>5</v>
      </c>
      <c r="S8" s="1">
        <v>89.8</v>
      </c>
      <c r="T8" s="1" t="s">
        <v>3</v>
      </c>
      <c r="U8" s="1">
        <v>483.3</v>
      </c>
      <c r="V8" s="1" t="s">
        <v>3</v>
      </c>
    </row>
    <row r="9" ht="15" customHeight="1" spans="1:22">
      <c r="A9" s="1" t="s">
        <v>94</v>
      </c>
      <c r="B9" s="1" t="s">
        <v>53</v>
      </c>
      <c r="C9" s="1">
        <v>96</v>
      </c>
      <c r="D9" s="1" t="s">
        <v>3</v>
      </c>
      <c r="E9" s="1">
        <v>89</v>
      </c>
      <c r="F9" s="1" t="s">
        <v>3</v>
      </c>
      <c r="G9" s="1">
        <v>68</v>
      </c>
      <c r="H9" s="1" t="s">
        <v>3</v>
      </c>
      <c r="I9" s="1">
        <v>58</v>
      </c>
      <c r="J9" s="1" t="s">
        <v>5</v>
      </c>
      <c r="K9" s="1">
        <v>40</v>
      </c>
      <c r="L9" s="1" t="s">
        <v>5</v>
      </c>
      <c r="M9" s="1">
        <v>24.3</v>
      </c>
      <c r="N9" s="1" t="s">
        <v>2</v>
      </c>
      <c r="O9" s="1">
        <v>44.5</v>
      </c>
      <c r="P9" s="1" t="s">
        <v>3</v>
      </c>
      <c r="Q9" s="1">
        <v>58.5</v>
      </c>
      <c r="R9" s="1" t="s">
        <v>3</v>
      </c>
      <c r="S9" s="1">
        <v>92.3</v>
      </c>
      <c r="T9" s="1" t="s">
        <v>3</v>
      </c>
      <c r="U9" s="1">
        <v>478.3</v>
      </c>
      <c r="V9" s="1" t="s">
        <v>3</v>
      </c>
    </row>
    <row r="10" ht="15" customHeight="1" spans="1:22">
      <c r="A10" s="1" t="s">
        <v>99</v>
      </c>
      <c r="B10" s="1" t="s">
        <v>53</v>
      </c>
      <c r="C10" s="1">
        <v>100.5</v>
      </c>
      <c r="D10" s="1" t="s">
        <v>2</v>
      </c>
      <c r="E10" s="1">
        <v>82</v>
      </c>
      <c r="F10" s="1" t="s">
        <v>5</v>
      </c>
      <c r="G10" s="1">
        <v>65</v>
      </c>
      <c r="H10" s="1" t="s">
        <v>3</v>
      </c>
      <c r="I10" s="1">
        <v>57.5</v>
      </c>
      <c r="J10" s="1" t="s">
        <v>5</v>
      </c>
      <c r="K10" s="1">
        <v>46</v>
      </c>
      <c r="L10" s="1" t="s">
        <v>2</v>
      </c>
      <c r="M10" s="1">
        <v>23.3</v>
      </c>
      <c r="N10" s="1" t="s">
        <v>3</v>
      </c>
      <c r="O10" s="1">
        <v>45.5</v>
      </c>
      <c r="P10" s="1" t="s">
        <v>3</v>
      </c>
      <c r="Q10" s="1">
        <v>58</v>
      </c>
      <c r="R10" s="1" t="s">
        <v>3</v>
      </c>
      <c r="S10" s="1">
        <v>88.3</v>
      </c>
      <c r="T10" s="1" t="s">
        <v>3</v>
      </c>
      <c r="U10" s="1">
        <v>477.8</v>
      </c>
      <c r="V10" s="1" t="s">
        <v>3</v>
      </c>
    </row>
    <row r="11" ht="15" customHeight="1" spans="1:22">
      <c r="A11" s="1" t="s">
        <v>104</v>
      </c>
      <c r="B11" s="1" t="s">
        <v>53</v>
      </c>
      <c r="C11" s="1">
        <v>97</v>
      </c>
      <c r="D11" s="1" t="s">
        <v>3</v>
      </c>
      <c r="E11" s="1">
        <v>85</v>
      </c>
      <c r="F11" s="1" t="s">
        <v>3</v>
      </c>
      <c r="G11" s="1">
        <v>70</v>
      </c>
      <c r="H11" s="1" t="s">
        <v>3</v>
      </c>
      <c r="I11" s="1">
        <v>61</v>
      </c>
      <c r="J11" s="1" t="s">
        <v>3</v>
      </c>
      <c r="K11" s="1">
        <v>39.5</v>
      </c>
      <c r="L11" s="1" t="s">
        <v>5</v>
      </c>
      <c r="M11" s="1">
        <v>22.1</v>
      </c>
      <c r="N11" s="1" t="s">
        <v>3</v>
      </c>
      <c r="O11" s="1">
        <v>44</v>
      </c>
      <c r="P11" s="1" t="s">
        <v>5</v>
      </c>
      <c r="Q11" s="1">
        <v>54</v>
      </c>
      <c r="R11" s="1" t="s">
        <v>5</v>
      </c>
      <c r="S11" s="1">
        <v>92.1</v>
      </c>
      <c r="T11" s="1" t="s">
        <v>3</v>
      </c>
      <c r="U11" s="1">
        <v>472.6</v>
      </c>
      <c r="V11" s="1" t="s">
        <v>3</v>
      </c>
    </row>
    <row r="12" ht="15" customHeight="1" spans="1:22">
      <c r="A12" s="1" t="s">
        <v>109</v>
      </c>
      <c r="B12" s="1" t="s">
        <v>53</v>
      </c>
      <c r="C12" s="1">
        <v>91</v>
      </c>
      <c r="D12" s="1" t="s">
        <v>5</v>
      </c>
      <c r="E12" s="1">
        <v>85</v>
      </c>
      <c r="F12" s="1" t="s">
        <v>3</v>
      </c>
      <c r="G12" s="1">
        <v>67.5</v>
      </c>
      <c r="H12" s="1" t="s">
        <v>3</v>
      </c>
      <c r="I12" s="1">
        <v>58.5</v>
      </c>
      <c r="J12" s="1" t="s">
        <v>5</v>
      </c>
      <c r="K12" s="1">
        <v>44.5</v>
      </c>
      <c r="L12" s="1" t="s">
        <v>3</v>
      </c>
      <c r="M12" s="1">
        <v>22.7</v>
      </c>
      <c r="N12" s="1" t="s">
        <v>3</v>
      </c>
      <c r="O12" s="1">
        <v>44</v>
      </c>
      <c r="P12" s="1" t="s">
        <v>5</v>
      </c>
      <c r="Q12" s="1">
        <v>58</v>
      </c>
      <c r="R12" s="1" t="s">
        <v>3</v>
      </c>
      <c r="S12" s="1">
        <v>90.2</v>
      </c>
      <c r="T12" s="1" t="s">
        <v>3</v>
      </c>
      <c r="U12" s="1">
        <v>471.2</v>
      </c>
      <c r="V12" s="1" t="s">
        <v>3</v>
      </c>
    </row>
    <row r="13" ht="15" customHeight="1" spans="1:22">
      <c r="A13" s="1" t="s">
        <v>114</v>
      </c>
      <c r="B13" s="1" t="s">
        <v>53</v>
      </c>
      <c r="C13" s="1">
        <v>98</v>
      </c>
      <c r="D13" s="1" t="s">
        <v>3</v>
      </c>
      <c r="E13" s="1">
        <v>82</v>
      </c>
      <c r="F13" s="1" t="s">
        <v>5</v>
      </c>
      <c r="G13" s="1">
        <v>70</v>
      </c>
      <c r="H13" s="1" t="s">
        <v>3</v>
      </c>
      <c r="I13" s="1">
        <v>51.5</v>
      </c>
      <c r="J13" s="1" t="s">
        <v>7</v>
      </c>
      <c r="K13" s="1">
        <v>39.5</v>
      </c>
      <c r="L13" s="1" t="s">
        <v>5</v>
      </c>
      <c r="M13" s="1">
        <v>23.9</v>
      </c>
      <c r="N13" s="1" t="s">
        <v>2</v>
      </c>
      <c r="O13" s="1">
        <v>47</v>
      </c>
      <c r="P13" s="1" t="s">
        <v>3</v>
      </c>
      <c r="Q13" s="1">
        <v>56</v>
      </c>
      <c r="R13" s="1" t="s">
        <v>5</v>
      </c>
      <c r="S13" s="1">
        <v>93.9</v>
      </c>
      <c r="T13" s="1" t="s">
        <v>3</v>
      </c>
      <c r="U13" s="1">
        <v>467.9</v>
      </c>
      <c r="V13" s="1" t="s">
        <v>3</v>
      </c>
    </row>
    <row r="14" ht="15" customHeight="1" spans="1:22">
      <c r="A14" s="1" t="s">
        <v>119</v>
      </c>
      <c r="B14" s="1" t="s">
        <v>53</v>
      </c>
      <c r="C14" s="1">
        <v>96</v>
      </c>
      <c r="D14" s="1" t="s">
        <v>3</v>
      </c>
      <c r="E14" s="1">
        <v>80</v>
      </c>
      <c r="F14" s="1" t="s">
        <v>5</v>
      </c>
      <c r="G14" s="1">
        <v>69.5</v>
      </c>
      <c r="H14" s="1" t="s">
        <v>3</v>
      </c>
      <c r="I14" s="1">
        <v>60.5</v>
      </c>
      <c r="J14" s="1" t="s">
        <v>3</v>
      </c>
      <c r="K14" s="1">
        <v>39.5</v>
      </c>
      <c r="L14" s="1" t="s">
        <v>5</v>
      </c>
      <c r="M14" s="1">
        <v>23.5</v>
      </c>
      <c r="N14" s="1" t="s">
        <v>3</v>
      </c>
      <c r="O14" s="1">
        <v>43</v>
      </c>
      <c r="P14" s="1" t="s">
        <v>5</v>
      </c>
      <c r="Q14" s="1">
        <v>55</v>
      </c>
      <c r="R14" s="1" t="s">
        <v>5</v>
      </c>
      <c r="S14" s="1">
        <v>93</v>
      </c>
      <c r="T14" s="1" t="s">
        <v>3</v>
      </c>
      <c r="U14" s="1">
        <v>467</v>
      </c>
      <c r="V14" s="1" t="s">
        <v>3</v>
      </c>
    </row>
    <row r="15" ht="15" customHeight="1" spans="1:22">
      <c r="A15" s="1" t="s">
        <v>124</v>
      </c>
      <c r="B15" s="1" t="s">
        <v>53</v>
      </c>
      <c r="C15" s="1">
        <v>90</v>
      </c>
      <c r="D15" s="1" t="s">
        <v>5</v>
      </c>
      <c r="E15" s="1">
        <v>86</v>
      </c>
      <c r="F15" s="1" t="s">
        <v>3</v>
      </c>
      <c r="G15" s="1">
        <v>61.5</v>
      </c>
      <c r="H15" s="1" t="s">
        <v>5</v>
      </c>
      <c r="I15" s="1">
        <v>61.5</v>
      </c>
      <c r="J15" s="1" t="s">
        <v>3</v>
      </c>
      <c r="K15" s="1">
        <v>42</v>
      </c>
      <c r="L15" s="1" t="s">
        <v>3</v>
      </c>
      <c r="M15" s="1">
        <v>23</v>
      </c>
      <c r="N15" s="1" t="s">
        <v>3</v>
      </c>
      <c r="O15" s="1">
        <v>49</v>
      </c>
      <c r="P15" s="1" t="s">
        <v>2</v>
      </c>
      <c r="Q15" s="1">
        <v>53.5</v>
      </c>
      <c r="R15" s="1" t="s">
        <v>5</v>
      </c>
      <c r="S15" s="1">
        <v>84.5</v>
      </c>
      <c r="T15" s="1" t="s">
        <v>5</v>
      </c>
      <c r="U15" s="1">
        <v>466.5</v>
      </c>
      <c r="V15" s="1" t="s">
        <v>3</v>
      </c>
    </row>
    <row r="16" ht="15" customHeight="1" spans="1:22">
      <c r="A16" s="1" t="s">
        <v>129</v>
      </c>
      <c r="B16" s="1" t="s">
        <v>53</v>
      </c>
      <c r="C16" s="1">
        <v>97.5</v>
      </c>
      <c r="D16" s="1" t="s">
        <v>3</v>
      </c>
      <c r="E16" s="1">
        <v>85</v>
      </c>
      <c r="F16" s="1" t="s">
        <v>3</v>
      </c>
      <c r="G16" s="1">
        <v>63</v>
      </c>
      <c r="H16" s="1" t="s">
        <v>5</v>
      </c>
      <c r="I16" s="1">
        <v>57</v>
      </c>
      <c r="J16" s="1" t="s">
        <v>5</v>
      </c>
      <c r="K16" s="1">
        <v>42</v>
      </c>
      <c r="L16" s="1" t="s">
        <v>3</v>
      </c>
      <c r="M16" s="1">
        <v>21.8</v>
      </c>
      <c r="N16" s="1" t="s">
        <v>5</v>
      </c>
      <c r="O16" s="1">
        <v>43.5</v>
      </c>
      <c r="P16" s="1" t="s">
        <v>5</v>
      </c>
      <c r="Q16" s="1">
        <v>55.5</v>
      </c>
      <c r="R16" s="1" t="s">
        <v>5</v>
      </c>
      <c r="S16" s="1">
        <v>84.8</v>
      </c>
      <c r="T16" s="1" t="s">
        <v>5</v>
      </c>
      <c r="U16" s="1">
        <v>465.3</v>
      </c>
      <c r="V16" s="1" t="s">
        <v>3</v>
      </c>
    </row>
    <row r="17" ht="15" customHeight="1" spans="1:22">
      <c r="A17" s="1" t="s">
        <v>134</v>
      </c>
      <c r="B17" s="1" t="s">
        <v>53</v>
      </c>
      <c r="C17" s="1">
        <v>98</v>
      </c>
      <c r="D17" s="1" t="s">
        <v>3</v>
      </c>
      <c r="E17" s="1">
        <v>81</v>
      </c>
      <c r="F17" s="1" t="s">
        <v>5</v>
      </c>
      <c r="G17" s="1">
        <v>68</v>
      </c>
      <c r="H17" s="1" t="s">
        <v>3</v>
      </c>
      <c r="I17" s="1">
        <v>63</v>
      </c>
      <c r="J17" s="1" t="s">
        <v>3</v>
      </c>
      <c r="K17" s="1">
        <v>43</v>
      </c>
      <c r="L17" s="1" t="s">
        <v>3</v>
      </c>
      <c r="M17" s="1">
        <v>23.1</v>
      </c>
      <c r="N17" s="1" t="s">
        <v>3</v>
      </c>
      <c r="O17" s="1">
        <v>40.5</v>
      </c>
      <c r="P17" s="1" t="s">
        <v>5</v>
      </c>
      <c r="Q17" s="1">
        <v>48.5</v>
      </c>
      <c r="R17" s="1" t="s">
        <v>5</v>
      </c>
      <c r="S17" s="1">
        <v>91.1</v>
      </c>
      <c r="T17" s="1" t="s">
        <v>3</v>
      </c>
      <c r="U17" s="1">
        <v>465.1</v>
      </c>
      <c r="V17" s="1" t="s">
        <v>3</v>
      </c>
    </row>
    <row r="18" ht="15" customHeight="1" spans="1:22">
      <c r="A18" s="1" t="s">
        <v>139</v>
      </c>
      <c r="B18" s="1" t="s">
        <v>53</v>
      </c>
      <c r="C18" s="1">
        <v>92</v>
      </c>
      <c r="D18" s="1" t="s">
        <v>5</v>
      </c>
      <c r="E18" s="1">
        <v>84</v>
      </c>
      <c r="F18" s="1" t="s">
        <v>3</v>
      </c>
      <c r="G18" s="1">
        <v>68</v>
      </c>
      <c r="H18" s="1" t="s">
        <v>3</v>
      </c>
      <c r="I18" s="1">
        <v>56</v>
      </c>
      <c r="J18" s="1" t="s">
        <v>5</v>
      </c>
      <c r="K18" s="1">
        <v>40.5</v>
      </c>
      <c r="L18" s="1" t="s">
        <v>5</v>
      </c>
      <c r="M18" s="1">
        <v>23.4</v>
      </c>
      <c r="N18" s="1" t="s">
        <v>3</v>
      </c>
      <c r="O18" s="1">
        <v>48</v>
      </c>
      <c r="P18" s="1" t="s">
        <v>2</v>
      </c>
      <c r="Q18" s="1">
        <v>52.5</v>
      </c>
      <c r="R18" s="1" t="s">
        <v>5</v>
      </c>
      <c r="S18" s="1">
        <v>91.4</v>
      </c>
      <c r="T18" s="1" t="s">
        <v>3</v>
      </c>
      <c r="U18" s="1">
        <v>464.4</v>
      </c>
      <c r="V18" s="1" t="s">
        <v>3</v>
      </c>
    </row>
    <row r="19" ht="15" customHeight="1" spans="1:22">
      <c r="A19" s="1" t="s">
        <v>144</v>
      </c>
      <c r="B19" s="1" t="s">
        <v>53</v>
      </c>
      <c r="C19" s="1">
        <v>98</v>
      </c>
      <c r="D19" s="1" t="s">
        <v>3</v>
      </c>
      <c r="E19" s="1">
        <v>80</v>
      </c>
      <c r="F19" s="1" t="s">
        <v>5</v>
      </c>
      <c r="G19" s="1">
        <v>67</v>
      </c>
      <c r="H19" s="1" t="s">
        <v>3</v>
      </c>
      <c r="I19" s="1">
        <v>61.5</v>
      </c>
      <c r="J19" s="1" t="s">
        <v>3</v>
      </c>
      <c r="K19" s="1">
        <v>41.5</v>
      </c>
      <c r="L19" s="1" t="s">
        <v>3</v>
      </c>
      <c r="M19" s="1">
        <v>22.3</v>
      </c>
      <c r="N19" s="1" t="s">
        <v>3</v>
      </c>
      <c r="O19" s="1">
        <v>38.5</v>
      </c>
      <c r="P19" s="1" t="s">
        <v>5</v>
      </c>
      <c r="Q19" s="1">
        <v>47</v>
      </c>
      <c r="R19" s="1" t="s">
        <v>5</v>
      </c>
      <c r="S19" s="1">
        <v>89.3</v>
      </c>
      <c r="T19" s="1" t="s">
        <v>3</v>
      </c>
      <c r="U19" s="1">
        <v>455.8</v>
      </c>
      <c r="V19" s="1" t="s">
        <v>5</v>
      </c>
    </row>
    <row r="20" ht="15" customHeight="1" spans="1:22">
      <c r="A20" s="1" t="s">
        <v>149</v>
      </c>
      <c r="B20" s="1" t="s">
        <v>53</v>
      </c>
      <c r="C20" s="1">
        <v>86.5</v>
      </c>
      <c r="D20" s="1" t="s">
        <v>5</v>
      </c>
      <c r="E20" s="1">
        <v>85</v>
      </c>
      <c r="F20" s="1" t="s">
        <v>3</v>
      </c>
      <c r="G20" s="1">
        <v>63</v>
      </c>
      <c r="H20" s="1" t="s">
        <v>5</v>
      </c>
      <c r="I20" s="1">
        <v>54</v>
      </c>
      <c r="J20" s="1" t="s">
        <v>5</v>
      </c>
      <c r="K20" s="1">
        <v>38</v>
      </c>
      <c r="L20" s="1" t="s">
        <v>5</v>
      </c>
      <c r="M20" s="1">
        <v>22.4</v>
      </c>
      <c r="N20" s="1" t="s">
        <v>3</v>
      </c>
      <c r="O20" s="1">
        <v>43.5</v>
      </c>
      <c r="P20" s="1" t="s">
        <v>5</v>
      </c>
      <c r="Q20" s="1">
        <v>56.5</v>
      </c>
      <c r="R20" s="1" t="s">
        <v>5</v>
      </c>
      <c r="S20" s="1">
        <v>85.4</v>
      </c>
      <c r="T20" s="1" t="s">
        <v>3</v>
      </c>
      <c r="U20" s="1">
        <v>448.9</v>
      </c>
      <c r="V20" s="1" t="s">
        <v>5</v>
      </c>
    </row>
    <row r="21" ht="15" customHeight="1" spans="1:22">
      <c r="A21" s="1" t="s">
        <v>154</v>
      </c>
      <c r="B21" s="1" t="s">
        <v>53</v>
      </c>
      <c r="C21" s="1">
        <v>96</v>
      </c>
      <c r="D21" s="1" t="s">
        <v>3</v>
      </c>
      <c r="E21" s="1">
        <v>82</v>
      </c>
      <c r="F21" s="1" t="s">
        <v>5</v>
      </c>
      <c r="G21" s="1">
        <v>60</v>
      </c>
      <c r="H21" s="1" t="s">
        <v>5</v>
      </c>
      <c r="I21" s="1">
        <v>63.5</v>
      </c>
      <c r="J21" s="1" t="s">
        <v>3</v>
      </c>
      <c r="K21" s="1">
        <v>39.5</v>
      </c>
      <c r="L21" s="1" t="s">
        <v>5</v>
      </c>
      <c r="M21" s="1">
        <v>14.3</v>
      </c>
      <c r="N21" s="1" t="s">
        <v>7</v>
      </c>
      <c r="O21" s="1">
        <v>41</v>
      </c>
      <c r="P21" s="1" t="s">
        <v>5</v>
      </c>
      <c r="Q21" s="1">
        <v>51.5</v>
      </c>
      <c r="R21" s="1" t="s">
        <v>5</v>
      </c>
      <c r="S21" s="1">
        <v>74.3</v>
      </c>
      <c r="T21" s="1" t="s">
        <v>5</v>
      </c>
      <c r="U21" s="1">
        <v>447.8</v>
      </c>
      <c r="V21" s="1" t="s">
        <v>5</v>
      </c>
    </row>
    <row r="22" ht="15" customHeight="1" spans="1:22">
      <c r="A22" s="1" t="s">
        <v>159</v>
      </c>
      <c r="B22" s="1" t="s">
        <v>53</v>
      </c>
      <c r="C22" s="1">
        <v>94.5</v>
      </c>
      <c r="D22" s="1" t="s">
        <v>3</v>
      </c>
      <c r="E22" s="1">
        <v>80</v>
      </c>
      <c r="F22" s="1" t="s">
        <v>5</v>
      </c>
      <c r="G22" s="1">
        <v>58</v>
      </c>
      <c r="H22" s="1" t="s">
        <v>5</v>
      </c>
      <c r="I22" s="1">
        <v>56</v>
      </c>
      <c r="J22" s="1" t="s">
        <v>5</v>
      </c>
      <c r="K22" s="1">
        <v>47</v>
      </c>
      <c r="L22" s="1" t="s">
        <v>2</v>
      </c>
      <c r="M22" s="1">
        <v>19.9</v>
      </c>
      <c r="N22" s="1" t="s">
        <v>5</v>
      </c>
      <c r="O22" s="1">
        <v>38.5</v>
      </c>
      <c r="P22" s="1" t="s">
        <v>5</v>
      </c>
      <c r="Q22" s="1">
        <v>47.5</v>
      </c>
      <c r="R22" s="1" t="s">
        <v>5</v>
      </c>
      <c r="S22" s="1">
        <v>77.9</v>
      </c>
      <c r="T22" s="1" t="s">
        <v>5</v>
      </c>
      <c r="U22" s="1">
        <v>441.4</v>
      </c>
      <c r="V22" s="1" t="s">
        <v>5</v>
      </c>
    </row>
    <row r="23" ht="15" customHeight="1" spans="1:22">
      <c r="A23" s="1" t="s">
        <v>164</v>
      </c>
      <c r="B23" s="1" t="s">
        <v>53</v>
      </c>
      <c r="C23" s="1">
        <v>74</v>
      </c>
      <c r="D23" s="1" t="s">
        <v>7</v>
      </c>
      <c r="E23" s="1">
        <v>82</v>
      </c>
      <c r="F23" s="1" t="s">
        <v>5</v>
      </c>
      <c r="G23" s="1">
        <v>64</v>
      </c>
      <c r="H23" s="1" t="s">
        <v>3</v>
      </c>
      <c r="I23" s="1">
        <v>53</v>
      </c>
      <c r="J23" s="1" t="s">
        <v>7</v>
      </c>
      <c r="K23" s="1">
        <v>33.5</v>
      </c>
      <c r="L23" s="1" t="s">
        <v>7</v>
      </c>
      <c r="M23" s="1">
        <v>22.2</v>
      </c>
      <c r="N23" s="1" t="s">
        <v>3</v>
      </c>
      <c r="O23" s="1">
        <v>45</v>
      </c>
      <c r="P23" s="1" t="s">
        <v>3</v>
      </c>
      <c r="Q23" s="1">
        <v>63</v>
      </c>
      <c r="R23" s="1" t="s">
        <v>3</v>
      </c>
      <c r="S23" s="1">
        <v>86.2</v>
      </c>
      <c r="T23" s="1" t="s">
        <v>3</v>
      </c>
      <c r="U23" s="1">
        <v>436.7</v>
      </c>
      <c r="V23" s="1" t="s">
        <v>5</v>
      </c>
    </row>
    <row r="24" ht="15" customHeight="1" spans="1:22">
      <c r="A24" s="1" t="s">
        <v>169</v>
      </c>
      <c r="B24" s="1" t="s">
        <v>53</v>
      </c>
      <c r="C24" s="1">
        <v>84.5</v>
      </c>
      <c r="D24" s="1" t="s">
        <v>5</v>
      </c>
      <c r="E24" s="1">
        <v>78</v>
      </c>
      <c r="F24" s="1" t="s">
        <v>5</v>
      </c>
      <c r="G24" s="1">
        <v>54</v>
      </c>
      <c r="H24" s="1" t="s">
        <v>5</v>
      </c>
      <c r="I24" s="1">
        <v>60</v>
      </c>
      <c r="J24" s="1" t="s">
        <v>3</v>
      </c>
      <c r="K24" s="1">
        <v>37</v>
      </c>
      <c r="L24" s="1" t="s">
        <v>7</v>
      </c>
      <c r="M24" s="1">
        <v>21.2</v>
      </c>
      <c r="N24" s="1" t="s">
        <v>5</v>
      </c>
      <c r="O24" s="1">
        <v>41.5</v>
      </c>
      <c r="P24" s="1" t="s">
        <v>5</v>
      </c>
      <c r="Q24" s="1">
        <v>60</v>
      </c>
      <c r="R24" s="1" t="s">
        <v>3</v>
      </c>
      <c r="S24" s="1">
        <v>75.2</v>
      </c>
      <c r="T24" s="1" t="s">
        <v>5</v>
      </c>
      <c r="U24" s="1">
        <v>436.2</v>
      </c>
      <c r="V24" s="1" t="s">
        <v>5</v>
      </c>
    </row>
    <row r="25" ht="15" customHeight="1" spans="1:22">
      <c r="A25" s="1" t="s">
        <v>174</v>
      </c>
      <c r="B25" s="1" t="s">
        <v>53</v>
      </c>
      <c r="C25" s="1">
        <v>90.5</v>
      </c>
      <c r="D25" s="1" t="s">
        <v>5</v>
      </c>
      <c r="E25" s="1">
        <v>75</v>
      </c>
      <c r="F25" s="1" t="s">
        <v>5</v>
      </c>
      <c r="G25" s="1">
        <v>58</v>
      </c>
      <c r="H25" s="1" t="s">
        <v>5</v>
      </c>
      <c r="I25" s="1">
        <v>56</v>
      </c>
      <c r="J25" s="1" t="s">
        <v>5</v>
      </c>
      <c r="K25" s="1">
        <v>35.5</v>
      </c>
      <c r="L25" s="1" t="s">
        <v>7</v>
      </c>
      <c r="M25" s="1">
        <v>15.7</v>
      </c>
      <c r="N25" s="1" t="s">
        <v>7</v>
      </c>
      <c r="O25" s="1">
        <v>43</v>
      </c>
      <c r="P25" s="1" t="s">
        <v>5</v>
      </c>
      <c r="Q25" s="1">
        <v>50</v>
      </c>
      <c r="R25" s="1" t="s">
        <v>5</v>
      </c>
      <c r="S25" s="1">
        <v>73.7</v>
      </c>
      <c r="T25" s="1" t="s">
        <v>5</v>
      </c>
      <c r="U25" s="1">
        <v>423.7</v>
      </c>
      <c r="V25" s="1" t="s">
        <v>5</v>
      </c>
    </row>
    <row r="26" ht="15" customHeight="1" spans="1:22">
      <c r="A26" s="1" t="s">
        <v>179</v>
      </c>
      <c r="B26" s="1" t="s">
        <v>53</v>
      </c>
      <c r="C26" s="1">
        <v>89.5</v>
      </c>
      <c r="D26" s="1" t="s">
        <v>5</v>
      </c>
      <c r="E26" s="1">
        <v>80</v>
      </c>
      <c r="F26" s="1" t="s">
        <v>5</v>
      </c>
      <c r="G26" s="1">
        <v>51.5</v>
      </c>
      <c r="H26" s="1" t="s">
        <v>5</v>
      </c>
      <c r="I26" s="1">
        <v>57</v>
      </c>
      <c r="J26" s="1" t="s">
        <v>5</v>
      </c>
      <c r="K26" s="1">
        <v>35</v>
      </c>
      <c r="L26" s="1" t="s">
        <v>7</v>
      </c>
      <c r="M26" s="1">
        <v>16</v>
      </c>
      <c r="N26" s="1" t="s">
        <v>7</v>
      </c>
      <c r="O26" s="1">
        <v>38.5</v>
      </c>
      <c r="P26" s="1" t="s">
        <v>5</v>
      </c>
      <c r="Q26" s="1">
        <v>54</v>
      </c>
      <c r="R26" s="1" t="s">
        <v>5</v>
      </c>
      <c r="S26" s="1">
        <v>67.5</v>
      </c>
      <c r="T26" s="1" t="s">
        <v>5</v>
      </c>
      <c r="U26" s="1">
        <v>421.5</v>
      </c>
      <c r="V26" s="1" t="s">
        <v>5</v>
      </c>
    </row>
    <row r="27" ht="15" customHeight="1" spans="1:22">
      <c r="A27" s="1" t="s">
        <v>184</v>
      </c>
      <c r="B27" s="1" t="s">
        <v>53</v>
      </c>
      <c r="C27" s="1">
        <v>81.5</v>
      </c>
      <c r="D27" s="1" t="s">
        <v>7</v>
      </c>
      <c r="E27" s="1">
        <v>76</v>
      </c>
      <c r="F27" s="1" t="s">
        <v>5</v>
      </c>
      <c r="G27" s="1">
        <v>61</v>
      </c>
      <c r="H27" s="1" t="s">
        <v>5</v>
      </c>
      <c r="I27" s="1">
        <v>61.5</v>
      </c>
      <c r="J27" s="1" t="s">
        <v>3</v>
      </c>
      <c r="K27" s="1">
        <v>39</v>
      </c>
      <c r="L27" s="1" t="s">
        <v>5</v>
      </c>
      <c r="M27" s="1">
        <v>21.1</v>
      </c>
      <c r="N27" s="1" t="s">
        <v>5</v>
      </c>
      <c r="O27" s="1">
        <v>33</v>
      </c>
      <c r="P27" s="1" t="s">
        <v>7</v>
      </c>
      <c r="Q27" s="1">
        <v>48</v>
      </c>
      <c r="R27" s="1" t="s">
        <v>5</v>
      </c>
      <c r="S27" s="1">
        <v>82.1</v>
      </c>
      <c r="T27" s="1" t="s">
        <v>5</v>
      </c>
      <c r="U27" s="1">
        <v>421.1</v>
      </c>
      <c r="V27" s="1" t="s">
        <v>5</v>
      </c>
    </row>
    <row r="28" ht="15" customHeight="1" spans="1:22">
      <c r="A28" s="1" t="s">
        <v>189</v>
      </c>
      <c r="B28" s="1" t="s">
        <v>53</v>
      </c>
      <c r="C28" s="1">
        <v>76.5</v>
      </c>
      <c r="D28" s="1" t="s">
        <v>7</v>
      </c>
      <c r="E28" s="1">
        <v>87</v>
      </c>
      <c r="F28" s="1" t="s">
        <v>3</v>
      </c>
      <c r="G28" s="1">
        <v>54.5</v>
      </c>
      <c r="H28" s="1" t="s">
        <v>5</v>
      </c>
      <c r="I28" s="1">
        <v>55.5</v>
      </c>
      <c r="J28" s="1" t="s">
        <v>5</v>
      </c>
      <c r="K28" s="1">
        <v>36.5</v>
      </c>
      <c r="L28" s="1" t="s">
        <v>7</v>
      </c>
      <c r="M28" s="1">
        <v>21.2</v>
      </c>
      <c r="N28" s="1" t="s">
        <v>5</v>
      </c>
      <c r="O28" s="1">
        <v>36.5</v>
      </c>
      <c r="P28" s="1" t="s">
        <v>7</v>
      </c>
      <c r="Q28" s="1">
        <v>50.5</v>
      </c>
      <c r="R28" s="1" t="s">
        <v>5</v>
      </c>
      <c r="S28" s="1">
        <v>75.7</v>
      </c>
      <c r="T28" s="1" t="s">
        <v>5</v>
      </c>
      <c r="U28" s="1">
        <v>418.2</v>
      </c>
      <c r="V28" s="1" t="s">
        <v>5</v>
      </c>
    </row>
    <row r="29" ht="15" customHeight="1" spans="1:22">
      <c r="A29" s="1" t="s">
        <v>194</v>
      </c>
      <c r="B29" s="1" t="s">
        <v>53</v>
      </c>
      <c r="C29" s="1">
        <v>88.5</v>
      </c>
      <c r="D29" s="1" t="s">
        <v>5</v>
      </c>
      <c r="E29" s="1">
        <v>78</v>
      </c>
      <c r="F29" s="1" t="s">
        <v>5</v>
      </c>
      <c r="G29" s="1">
        <v>57.5</v>
      </c>
      <c r="H29" s="1" t="s">
        <v>5</v>
      </c>
      <c r="I29" s="1">
        <v>51</v>
      </c>
      <c r="J29" s="1" t="s">
        <v>7</v>
      </c>
      <c r="K29" s="1">
        <v>38</v>
      </c>
      <c r="L29" s="1" t="s">
        <v>5</v>
      </c>
      <c r="M29" s="1">
        <v>20.4</v>
      </c>
      <c r="N29" s="1" t="s">
        <v>5</v>
      </c>
      <c r="O29" s="1">
        <v>26.5</v>
      </c>
      <c r="P29" s="1" t="s">
        <v>7</v>
      </c>
      <c r="Q29" s="1">
        <v>48.5</v>
      </c>
      <c r="R29" s="1" t="s">
        <v>5</v>
      </c>
      <c r="S29" s="1">
        <v>77.9</v>
      </c>
      <c r="T29" s="1" t="s">
        <v>5</v>
      </c>
      <c r="U29" s="1">
        <v>408.4</v>
      </c>
      <c r="V29" s="1" t="s">
        <v>5</v>
      </c>
    </row>
    <row r="30" ht="15" customHeight="1" spans="1:22">
      <c r="A30" s="1" t="s">
        <v>199</v>
      </c>
      <c r="B30" s="1" t="s">
        <v>53</v>
      </c>
      <c r="C30" s="1">
        <v>68.5</v>
      </c>
      <c r="D30" s="1" t="s">
        <v>9</v>
      </c>
      <c r="E30" s="1">
        <v>73</v>
      </c>
      <c r="F30" s="1" t="s">
        <v>7</v>
      </c>
      <c r="G30" s="1">
        <v>52</v>
      </c>
      <c r="H30" s="1" t="s">
        <v>5</v>
      </c>
      <c r="I30" s="1">
        <v>59.5</v>
      </c>
      <c r="J30" s="1" t="s">
        <v>3</v>
      </c>
      <c r="K30" s="1">
        <v>35.5</v>
      </c>
      <c r="L30" s="1" t="s">
        <v>7</v>
      </c>
      <c r="M30" s="1">
        <v>20.5</v>
      </c>
      <c r="N30" s="1" t="s">
        <v>5</v>
      </c>
      <c r="O30" s="1">
        <v>46.5</v>
      </c>
      <c r="P30" s="1" t="s">
        <v>3</v>
      </c>
      <c r="Q30" s="1">
        <v>51.5</v>
      </c>
      <c r="R30" s="1" t="s">
        <v>5</v>
      </c>
      <c r="S30" s="1">
        <v>72.5</v>
      </c>
      <c r="T30" s="1" t="s">
        <v>5</v>
      </c>
      <c r="U30" s="1">
        <v>407</v>
      </c>
      <c r="V30" s="1" t="s">
        <v>5</v>
      </c>
    </row>
    <row r="31" ht="15" customHeight="1" spans="1:22">
      <c r="A31" s="1" t="s">
        <v>204</v>
      </c>
      <c r="B31" s="1" t="s">
        <v>53</v>
      </c>
      <c r="C31" s="1">
        <v>82</v>
      </c>
      <c r="D31" s="1" t="s">
        <v>7</v>
      </c>
      <c r="E31" s="1">
        <v>80</v>
      </c>
      <c r="F31" s="1" t="s">
        <v>5</v>
      </c>
      <c r="G31" s="1">
        <v>58</v>
      </c>
      <c r="H31" s="1" t="s">
        <v>5</v>
      </c>
      <c r="I31" s="1">
        <v>49.5</v>
      </c>
      <c r="J31" s="1" t="s">
        <v>7</v>
      </c>
      <c r="K31" s="1">
        <v>35</v>
      </c>
      <c r="L31" s="1" t="s">
        <v>7</v>
      </c>
      <c r="M31" s="1">
        <v>20.2</v>
      </c>
      <c r="N31" s="1" t="s">
        <v>5</v>
      </c>
      <c r="O31" s="1">
        <v>36</v>
      </c>
      <c r="P31" s="1" t="s">
        <v>7</v>
      </c>
      <c r="Q31" s="1">
        <v>45</v>
      </c>
      <c r="R31" s="1" t="s">
        <v>7</v>
      </c>
      <c r="S31" s="1">
        <v>78.2</v>
      </c>
      <c r="T31" s="1" t="s">
        <v>5</v>
      </c>
      <c r="U31" s="1">
        <v>405.7</v>
      </c>
      <c r="V31" s="1" t="s">
        <v>5</v>
      </c>
    </row>
    <row r="32" ht="15" customHeight="1" spans="1:22">
      <c r="A32" s="1" t="s">
        <v>209</v>
      </c>
      <c r="B32" s="1" t="s">
        <v>53</v>
      </c>
      <c r="C32" s="1">
        <v>86.5</v>
      </c>
      <c r="D32" s="1" t="s">
        <v>5</v>
      </c>
      <c r="E32" s="1">
        <v>86</v>
      </c>
      <c r="F32" s="1" t="s">
        <v>3</v>
      </c>
      <c r="G32" s="1">
        <v>61</v>
      </c>
      <c r="H32" s="1" t="s">
        <v>5</v>
      </c>
      <c r="I32" s="1">
        <v>48</v>
      </c>
      <c r="J32" s="1" t="s">
        <v>7</v>
      </c>
      <c r="K32" s="1">
        <v>38</v>
      </c>
      <c r="L32" s="1" t="s">
        <v>5</v>
      </c>
      <c r="M32" s="1">
        <v>21.7</v>
      </c>
      <c r="N32" s="1" t="s">
        <v>5</v>
      </c>
      <c r="O32" s="1">
        <v>24</v>
      </c>
      <c r="P32" s="1" t="s">
        <v>9</v>
      </c>
      <c r="Q32" s="1">
        <v>39</v>
      </c>
      <c r="R32" s="1" t="s">
        <v>7</v>
      </c>
      <c r="S32" s="1">
        <v>82.7</v>
      </c>
      <c r="T32" s="1" t="s">
        <v>5</v>
      </c>
      <c r="U32" s="1">
        <v>404.2</v>
      </c>
      <c r="V32" s="1" t="s">
        <v>5</v>
      </c>
    </row>
    <row r="33" ht="15" customHeight="1" spans="1:22">
      <c r="A33" s="1" t="s">
        <v>214</v>
      </c>
      <c r="B33" s="1" t="s">
        <v>53</v>
      </c>
      <c r="C33" s="1">
        <v>81.5</v>
      </c>
      <c r="D33" s="1" t="s">
        <v>7</v>
      </c>
      <c r="E33" s="1">
        <v>77</v>
      </c>
      <c r="F33" s="1" t="s">
        <v>5</v>
      </c>
      <c r="G33" s="1">
        <v>51</v>
      </c>
      <c r="H33" s="1" t="s">
        <v>5</v>
      </c>
      <c r="I33" s="1">
        <v>51</v>
      </c>
      <c r="J33" s="1" t="s">
        <v>7</v>
      </c>
      <c r="K33" s="1">
        <v>36.5</v>
      </c>
      <c r="L33" s="1" t="s">
        <v>7</v>
      </c>
      <c r="M33" s="1">
        <v>17.8</v>
      </c>
      <c r="N33" s="1" t="s">
        <v>7</v>
      </c>
      <c r="O33" s="1">
        <v>35.5</v>
      </c>
      <c r="P33" s="1" t="s">
        <v>7</v>
      </c>
      <c r="Q33" s="1">
        <v>49</v>
      </c>
      <c r="R33" s="1" t="s">
        <v>5</v>
      </c>
      <c r="S33" s="1">
        <v>68.8</v>
      </c>
      <c r="T33" s="1" t="s">
        <v>5</v>
      </c>
      <c r="U33" s="1">
        <v>399.3</v>
      </c>
      <c r="V33" s="1" t="s">
        <v>7</v>
      </c>
    </row>
    <row r="34" ht="15" customHeight="1" spans="1:22">
      <c r="A34" s="1" t="s">
        <v>219</v>
      </c>
      <c r="B34" s="1" t="s">
        <v>53</v>
      </c>
      <c r="C34" s="1">
        <v>89</v>
      </c>
      <c r="D34" s="1" t="s">
        <v>5</v>
      </c>
      <c r="E34" s="1">
        <v>76</v>
      </c>
      <c r="F34" s="1" t="s">
        <v>5</v>
      </c>
      <c r="G34" s="1">
        <v>50</v>
      </c>
      <c r="H34" s="1" t="s">
        <v>5</v>
      </c>
      <c r="I34" s="1">
        <v>45</v>
      </c>
      <c r="J34" s="1" t="s">
        <v>9</v>
      </c>
      <c r="K34" s="1">
        <v>36.5</v>
      </c>
      <c r="L34" s="1" t="s">
        <v>7</v>
      </c>
      <c r="M34" s="1">
        <v>16.6</v>
      </c>
      <c r="N34" s="1" t="s">
        <v>7</v>
      </c>
      <c r="O34" s="1">
        <v>34.5</v>
      </c>
      <c r="P34" s="1" t="s">
        <v>7</v>
      </c>
      <c r="Q34" s="1">
        <v>51</v>
      </c>
      <c r="R34" s="1" t="s">
        <v>5</v>
      </c>
      <c r="S34" s="1">
        <v>66.6</v>
      </c>
      <c r="T34" s="1" t="s">
        <v>5</v>
      </c>
      <c r="U34" s="1">
        <v>398.6</v>
      </c>
      <c r="V34" s="1" t="s">
        <v>7</v>
      </c>
    </row>
    <row r="35" ht="15" customHeight="1" spans="1:22">
      <c r="A35" s="1" t="s">
        <v>224</v>
      </c>
      <c r="B35" s="1" t="s">
        <v>53</v>
      </c>
      <c r="C35" s="1">
        <v>74.5</v>
      </c>
      <c r="D35" s="1" t="s">
        <v>7</v>
      </c>
      <c r="E35" s="1">
        <v>81</v>
      </c>
      <c r="F35" s="1" t="s">
        <v>5</v>
      </c>
      <c r="G35" s="1">
        <v>46.5</v>
      </c>
      <c r="H35" s="1" t="s">
        <v>7</v>
      </c>
      <c r="I35" s="1">
        <v>54</v>
      </c>
      <c r="J35" s="1" t="s">
        <v>5</v>
      </c>
      <c r="K35" s="1">
        <v>39</v>
      </c>
      <c r="L35" s="1" t="s">
        <v>5</v>
      </c>
      <c r="M35" s="1">
        <v>17.6</v>
      </c>
      <c r="N35" s="1" t="s">
        <v>7</v>
      </c>
      <c r="O35" s="1">
        <v>34.5</v>
      </c>
      <c r="P35" s="1" t="s">
        <v>7</v>
      </c>
      <c r="Q35" s="1">
        <v>48</v>
      </c>
      <c r="R35" s="1" t="s">
        <v>5</v>
      </c>
      <c r="S35" s="1">
        <v>64.1</v>
      </c>
      <c r="T35" s="1" t="s">
        <v>7</v>
      </c>
      <c r="U35" s="1">
        <v>395.1</v>
      </c>
      <c r="V35" s="1" t="s">
        <v>7</v>
      </c>
    </row>
    <row r="36" ht="15" customHeight="1" spans="1:22">
      <c r="A36" s="1" t="s">
        <v>229</v>
      </c>
      <c r="B36" s="1" t="s">
        <v>53</v>
      </c>
      <c r="C36" s="1">
        <v>89</v>
      </c>
      <c r="D36" s="1" t="s">
        <v>5</v>
      </c>
      <c r="E36" s="1">
        <v>86</v>
      </c>
      <c r="F36" s="1" t="s">
        <v>3</v>
      </c>
      <c r="G36" s="1">
        <v>46</v>
      </c>
      <c r="H36" s="1" t="s">
        <v>7</v>
      </c>
      <c r="I36" s="1">
        <v>48</v>
      </c>
      <c r="J36" s="1" t="s">
        <v>7</v>
      </c>
      <c r="K36" s="1">
        <v>38</v>
      </c>
      <c r="L36" s="1" t="s">
        <v>5</v>
      </c>
      <c r="M36" s="1">
        <v>18.3</v>
      </c>
      <c r="N36" s="1" t="s">
        <v>5</v>
      </c>
      <c r="O36" s="1">
        <v>34.5</v>
      </c>
      <c r="P36" s="1" t="s">
        <v>7</v>
      </c>
      <c r="Q36" s="1">
        <v>34.5</v>
      </c>
      <c r="R36" s="1" t="s">
        <v>7</v>
      </c>
      <c r="S36" s="1">
        <v>64.3</v>
      </c>
      <c r="T36" s="1" t="s">
        <v>7</v>
      </c>
      <c r="U36" s="1">
        <v>394.3</v>
      </c>
      <c r="V36" s="1" t="s">
        <v>7</v>
      </c>
    </row>
    <row r="37" ht="15" customHeight="1" spans="1:22">
      <c r="A37" s="1" t="s">
        <v>234</v>
      </c>
      <c r="B37" s="1" t="s">
        <v>53</v>
      </c>
      <c r="C37" s="1">
        <v>77.5</v>
      </c>
      <c r="D37" s="1" t="s">
        <v>7</v>
      </c>
      <c r="E37" s="1">
        <v>78</v>
      </c>
      <c r="F37" s="1" t="s">
        <v>5</v>
      </c>
      <c r="G37" s="1">
        <v>40</v>
      </c>
      <c r="H37" s="1" t="s">
        <v>7</v>
      </c>
      <c r="I37" s="1">
        <v>51</v>
      </c>
      <c r="J37" s="1" t="s">
        <v>7</v>
      </c>
      <c r="K37" s="1">
        <v>37.5</v>
      </c>
      <c r="L37" s="1" t="s">
        <v>5</v>
      </c>
      <c r="M37" s="1">
        <v>17.4</v>
      </c>
      <c r="N37" s="1" t="s">
        <v>7</v>
      </c>
      <c r="O37" s="1">
        <v>35</v>
      </c>
      <c r="P37" s="1" t="s">
        <v>7</v>
      </c>
      <c r="Q37" s="1">
        <v>53</v>
      </c>
      <c r="R37" s="1" t="s">
        <v>5</v>
      </c>
      <c r="S37" s="1">
        <v>57.4</v>
      </c>
      <c r="T37" s="1" t="s">
        <v>7</v>
      </c>
      <c r="U37" s="1">
        <v>389.4</v>
      </c>
      <c r="V37" s="1" t="s">
        <v>7</v>
      </c>
    </row>
    <row r="38" ht="15" customHeight="1" spans="1:22">
      <c r="A38" s="1" t="s">
        <v>239</v>
      </c>
      <c r="B38" s="1" t="s">
        <v>53</v>
      </c>
      <c r="C38" s="1">
        <v>84.5</v>
      </c>
      <c r="D38" s="1" t="s">
        <v>5</v>
      </c>
      <c r="E38" s="1">
        <v>64</v>
      </c>
      <c r="F38" s="1" t="s">
        <v>7</v>
      </c>
      <c r="G38" s="1">
        <v>36.5</v>
      </c>
      <c r="H38" s="1" t="s">
        <v>7</v>
      </c>
      <c r="I38" s="1">
        <v>48.5</v>
      </c>
      <c r="J38" s="1" t="s">
        <v>7</v>
      </c>
      <c r="K38" s="1">
        <v>41</v>
      </c>
      <c r="L38" s="1" t="s">
        <v>5</v>
      </c>
      <c r="M38" s="1">
        <v>12.6</v>
      </c>
      <c r="N38" s="1" t="s">
        <v>7</v>
      </c>
      <c r="O38" s="1">
        <v>36</v>
      </c>
      <c r="P38" s="1" t="s">
        <v>7</v>
      </c>
      <c r="Q38" s="1">
        <v>35</v>
      </c>
      <c r="R38" s="1" t="s">
        <v>7</v>
      </c>
      <c r="S38" s="1">
        <v>49.1</v>
      </c>
      <c r="T38" s="1" t="s">
        <v>7</v>
      </c>
      <c r="U38" s="1">
        <v>358.1</v>
      </c>
      <c r="V38" s="1" t="s">
        <v>7</v>
      </c>
    </row>
    <row r="39" ht="15" customHeight="1" spans="1:22">
      <c r="A39" s="1" t="s">
        <v>244</v>
      </c>
      <c r="B39" s="1" t="s">
        <v>53</v>
      </c>
      <c r="C39" s="1">
        <v>86</v>
      </c>
      <c r="D39" s="1" t="s">
        <v>5</v>
      </c>
      <c r="E39" s="1">
        <v>69</v>
      </c>
      <c r="F39" s="1" t="s">
        <v>7</v>
      </c>
      <c r="G39" s="1">
        <v>44</v>
      </c>
      <c r="H39" s="1" t="s">
        <v>7</v>
      </c>
      <c r="I39" s="1">
        <v>46</v>
      </c>
      <c r="J39" s="1" t="s">
        <v>7</v>
      </c>
      <c r="K39" s="1">
        <v>34.5</v>
      </c>
      <c r="L39" s="1" t="s">
        <v>7</v>
      </c>
      <c r="M39" s="1">
        <v>16</v>
      </c>
      <c r="N39" s="1" t="s">
        <v>7</v>
      </c>
      <c r="O39" s="1">
        <v>22.5</v>
      </c>
      <c r="P39" s="1" t="s">
        <v>9</v>
      </c>
      <c r="Q39" s="1">
        <v>34</v>
      </c>
      <c r="R39" s="1" t="s">
        <v>7</v>
      </c>
      <c r="S39" s="1">
        <v>60</v>
      </c>
      <c r="T39" s="1" t="s">
        <v>7</v>
      </c>
      <c r="U39" s="1">
        <v>352</v>
      </c>
      <c r="V39" s="1" t="s">
        <v>7</v>
      </c>
    </row>
    <row r="40" ht="15" customHeight="1" spans="1:22">
      <c r="A40" s="1" t="s">
        <v>249</v>
      </c>
      <c r="B40" s="1" t="s">
        <v>53</v>
      </c>
      <c r="C40" s="1">
        <v>79</v>
      </c>
      <c r="D40" s="1" t="s">
        <v>7</v>
      </c>
      <c r="E40" s="1">
        <v>85</v>
      </c>
      <c r="F40" s="1" t="s">
        <v>3</v>
      </c>
      <c r="G40" s="1">
        <v>17.5</v>
      </c>
      <c r="H40" s="1" t="s">
        <v>9</v>
      </c>
      <c r="I40" s="1">
        <v>55</v>
      </c>
      <c r="J40" s="1" t="s">
        <v>5</v>
      </c>
      <c r="K40" s="1">
        <v>34.5</v>
      </c>
      <c r="L40" s="1" t="s">
        <v>7</v>
      </c>
      <c r="M40" s="1">
        <v>7.3</v>
      </c>
      <c r="N40" s="1" t="s">
        <v>9</v>
      </c>
      <c r="O40" s="1">
        <v>26</v>
      </c>
      <c r="P40" s="1" t="s">
        <v>7</v>
      </c>
      <c r="Q40" s="1">
        <v>43</v>
      </c>
      <c r="R40" s="1" t="s">
        <v>7</v>
      </c>
      <c r="S40" s="1">
        <v>24.8</v>
      </c>
      <c r="T40" s="1" t="s">
        <v>9</v>
      </c>
      <c r="U40" s="1">
        <v>347.3</v>
      </c>
      <c r="V40" s="1" t="s">
        <v>7</v>
      </c>
    </row>
    <row r="41" ht="15" customHeight="1" spans="1:22">
      <c r="A41" s="1" t="s">
        <v>254</v>
      </c>
      <c r="B41" s="1" t="s">
        <v>53</v>
      </c>
      <c r="C41" s="1">
        <v>83</v>
      </c>
      <c r="D41" s="1" t="s">
        <v>7</v>
      </c>
      <c r="E41" s="1">
        <v>61</v>
      </c>
      <c r="F41" s="1" t="s">
        <v>7</v>
      </c>
      <c r="G41" s="1">
        <v>36.5</v>
      </c>
      <c r="H41" s="1" t="s">
        <v>7</v>
      </c>
      <c r="I41" s="1">
        <v>46.5</v>
      </c>
      <c r="J41" s="1" t="s">
        <v>7</v>
      </c>
      <c r="K41" s="1">
        <v>35</v>
      </c>
      <c r="L41" s="1" t="s">
        <v>7</v>
      </c>
      <c r="M41" s="1">
        <v>14.9</v>
      </c>
      <c r="N41" s="1" t="s">
        <v>7</v>
      </c>
      <c r="O41" s="1">
        <v>20.5</v>
      </c>
      <c r="P41" s="1" t="s">
        <v>9</v>
      </c>
      <c r="Q41" s="1">
        <v>31</v>
      </c>
      <c r="R41" s="1" t="s">
        <v>7</v>
      </c>
      <c r="S41" s="1">
        <v>51.4</v>
      </c>
      <c r="T41" s="1" t="s">
        <v>7</v>
      </c>
      <c r="U41" s="1">
        <v>328.4</v>
      </c>
      <c r="V41" s="1" t="s">
        <v>7</v>
      </c>
    </row>
    <row r="42" ht="15" customHeight="1" spans="1:22">
      <c r="A42" s="1" t="s">
        <v>259</v>
      </c>
      <c r="B42" s="1" t="s">
        <v>53</v>
      </c>
      <c r="C42" s="1">
        <v>77.5</v>
      </c>
      <c r="D42" s="1" t="s">
        <v>7</v>
      </c>
      <c r="E42" s="1">
        <v>47</v>
      </c>
      <c r="F42" s="1" t="s">
        <v>9</v>
      </c>
      <c r="G42" s="1">
        <v>23</v>
      </c>
      <c r="H42" s="1" t="s">
        <v>9</v>
      </c>
      <c r="I42" s="1">
        <v>32.5</v>
      </c>
      <c r="J42" s="1" t="s">
        <v>9</v>
      </c>
      <c r="K42" s="1">
        <v>30</v>
      </c>
      <c r="L42" s="1" t="s">
        <v>9</v>
      </c>
      <c r="M42" s="1">
        <v>12.2</v>
      </c>
      <c r="N42" s="1" t="s">
        <v>9</v>
      </c>
      <c r="O42" s="1">
        <v>18.5</v>
      </c>
      <c r="P42" s="1" t="s">
        <v>9</v>
      </c>
      <c r="Q42" s="1">
        <v>19</v>
      </c>
      <c r="R42" s="1" t="s">
        <v>9</v>
      </c>
      <c r="S42" s="1">
        <v>35.2</v>
      </c>
      <c r="T42" s="1" t="s">
        <v>9</v>
      </c>
      <c r="U42" s="1">
        <v>259.7</v>
      </c>
      <c r="V42" s="1" t="s">
        <v>9</v>
      </c>
    </row>
    <row r="43" ht="15" customHeight="1" spans="1:22">
      <c r="A43" s="1" t="s">
        <v>264</v>
      </c>
      <c r="B43" s="1" t="s">
        <v>53</v>
      </c>
      <c r="C43" s="1">
        <v>63.5</v>
      </c>
      <c r="D43" s="1" t="s">
        <v>9</v>
      </c>
      <c r="E43" s="1">
        <v>41</v>
      </c>
      <c r="F43" s="1" t="s">
        <v>9</v>
      </c>
      <c r="G43" s="1">
        <v>22.5</v>
      </c>
      <c r="H43" s="1" t="s">
        <v>9</v>
      </c>
      <c r="I43" s="1">
        <v>34.5</v>
      </c>
      <c r="J43" s="1" t="s">
        <v>9</v>
      </c>
      <c r="K43" s="1">
        <v>31</v>
      </c>
      <c r="L43" s="1" t="s">
        <v>9</v>
      </c>
      <c r="M43" s="1">
        <v>18.7</v>
      </c>
      <c r="N43" s="1" t="s">
        <v>5</v>
      </c>
      <c r="O43" s="1">
        <v>20.5</v>
      </c>
      <c r="P43" s="1" t="s">
        <v>9</v>
      </c>
      <c r="Q43" s="1">
        <v>24.5</v>
      </c>
      <c r="R43" s="1" t="s">
        <v>9</v>
      </c>
      <c r="S43" s="1">
        <v>41.2</v>
      </c>
      <c r="T43" s="1" t="s">
        <v>7</v>
      </c>
      <c r="U43" s="1">
        <v>256.2</v>
      </c>
      <c r="V43" s="1" t="s">
        <v>9</v>
      </c>
    </row>
    <row r="44" ht="15" customHeight="1" spans="1:22">
      <c r="A44" s="1" t="s">
        <v>269</v>
      </c>
      <c r="B44" s="1" t="s">
        <v>53</v>
      </c>
      <c r="C44" s="1">
        <v>56.5</v>
      </c>
      <c r="D44" s="1" t="s">
        <v>9</v>
      </c>
      <c r="E44" s="1">
        <v>63</v>
      </c>
      <c r="F44" s="1" t="s">
        <v>7</v>
      </c>
      <c r="G44" s="1">
        <v>24</v>
      </c>
      <c r="H44" s="1" t="s">
        <v>9</v>
      </c>
      <c r="I44" s="1">
        <v>32.5</v>
      </c>
      <c r="J44" s="1" t="s">
        <v>9</v>
      </c>
      <c r="K44" s="1">
        <v>29.5</v>
      </c>
      <c r="L44" s="1" t="s">
        <v>9</v>
      </c>
      <c r="M44" s="1">
        <v>10.6</v>
      </c>
      <c r="N44" s="1" t="s">
        <v>9</v>
      </c>
      <c r="O44" s="1">
        <v>17</v>
      </c>
      <c r="P44" s="1" t="s">
        <v>9</v>
      </c>
      <c r="Q44" s="1">
        <v>20.5</v>
      </c>
      <c r="R44" s="1" t="s">
        <v>9</v>
      </c>
      <c r="S44" s="1">
        <v>34.6</v>
      </c>
      <c r="T44" s="1" t="s">
        <v>9</v>
      </c>
      <c r="U44" s="1">
        <v>253.6</v>
      </c>
      <c r="V44" s="1" t="s">
        <v>9</v>
      </c>
    </row>
    <row r="45" ht="15" customHeight="1" spans="1:22">
      <c r="A45" s="1" t="s">
        <v>274</v>
      </c>
      <c r="B45" s="1" t="s">
        <v>53</v>
      </c>
      <c r="C45" s="1">
        <v>74</v>
      </c>
      <c r="D45" s="1" t="s">
        <v>7</v>
      </c>
      <c r="E45" s="1">
        <v>21</v>
      </c>
      <c r="F45" s="1" t="s">
        <v>9</v>
      </c>
      <c r="G45" s="1">
        <v>22</v>
      </c>
      <c r="H45" s="1" t="s">
        <v>9</v>
      </c>
      <c r="I45" s="1">
        <v>25.5</v>
      </c>
      <c r="J45" s="1" t="s">
        <v>10</v>
      </c>
      <c r="K45" s="1">
        <v>32</v>
      </c>
      <c r="L45" s="1" t="s">
        <v>7</v>
      </c>
      <c r="M45" s="1">
        <v>6.1</v>
      </c>
      <c r="N45" s="1" t="s">
        <v>9</v>
      </c>
      <c r="O45" s="1">
        <v>10</v>
      </c>
      <c r="P45" s="1" t="s">
        <v>9</v>
      </c>
      <c r="Q45" s="1">
        <v>18</v>
      </c>
      <c r="R45" s="1" t="s">
        <v>9</v>
      </c>
      <c r="S45" s="1">
        <v>28.1</v>
      </c>
      <c r="T45" s="1" t="s">
        <v>9</v>
      </c>
      <c r="U45" s="1">
        <v>208.6</v>
      </c>
      <c r="V45" s="1" t="s">
        <v>9</v>
      </c>
    </row>
    <row r="46" ht="15" customHeight="1" spans="1:22">
      <c r="A46" s="1" t="s">
        <v>279</v>
      </c>
      <c r="B46" s="1" t="s">
        <v>53</v>
      </c>
      <c r="C46" s="1">
        <v>52.5</v>
      </c>
      <c r="D46" s="1" t="s">
        <v>9</v>
      </c>
      <c r="E46" s="1">
        <v>37</v>
      </c>
      <c r="F46" s="1" t="s">
        <v>9</v>
      </c>
      <c r="G46" s="1">
        <v>12.5</v>
      </c>
      <c r="H46" s="1" t="s">
        <v>10</v>
      </c>
      <c r="I46" s="1">
        <v>33</v>
      </c>
      <c r="J46" s="1" t="s">
        <v>9</v>
      </c>
      <c r="K46" s="1">
        <v>22</v>
      </c>
      <c r="L46" s="1" t="s">
        <v>10</v>
      </c>
      <c r="M46" s="1">
        <v>4.5</v>
      </c>
      <c r="N46" s="1" t="s">
        <v>10</v>
      </c>
      <c r="O46" s="1">
        <v>7</v>
      </c>
      <c r="P46" s="1" t="s">
        <v>10</v>
      </c>
      <c r="Q46" s="1">
        <v>21</v>
      </c>
      <c r="R46" s="1" t="s">
        <v>9</v>
      </c>
      <c r="S46" s="1">
        <v>17</v>
      </c>
      <c r="T46" s="1" t="s">
        <v>10</v>
      </c>
      <c r="U46" s="1">
        <v>189.5</v>
      </c>
      <c r="V46" s="1" t="s">
        <v>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8"/>
  <sheetViews>
    <sheetView showGridLines="0" workbookViewId="0">
      <selection activeCell="L22" sqref="L22"/>
    </sheetView>
  </sheetViews>
  <sheetFormatPr defaultColWidth="9" defaultRowHeight="13.5"/>
  <sheetData>
    <row r="1" ht="15" customHeight="1" spans="1:23">
      <c r="A1" s="1" t="s">
        <v>288</v>
      </c>
      <c r="B1" s="1" t="s">
        <v>289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313</v>
      </c>
      <c r="W1" s="2" t="s">
        <v>314</v>
      </c>
    </row>
    <row r="2" ht="15" customHeight="1" spans="1:23">
      <c r="A2" s="1" t="s">
        <v>59</v>
      </c>
      <c r="B2" s="1" t="s">
        <v>54</v>
      </c>
      <c r="C2" s="1">
        <v>101.5</v>
      </c>
      <c r="D2" s="1" t="s">
        <v>2</v>
      </c>
      <c r="E2" s="1">
        <v>89</v>
      </c>
      <c r="F2" s="1" t="s">
        <v>3</v>
      </c>
      <c r="G2" s="1">
        <v>74</v>
      </c>
      <c r="H2" s="1" t="s">
        <v>2</v>
      </c>
      <c r="I2" s="1">
        <v>66.5</v>
      </c>
      <c r="J2" s="1" t="s">
        <v>2</v>
      </c>
      <c r="K2" s="1">
        <v>46.5</v>
      </c>
      <c r="L2" s="1" t="s">
        <v>2</v>
      </c>
      <c r="M2" s="1">
        <v>23.7</v>
      </c>
      <c r="N2" s="1" t="s">
        <v>3</v>
      </c>
      <c r="O2" s="1">
        <v>48</v>
      </c>
      <c r="P2" s="1" t="s">
        <v>2</v>
      </c>
      <c r="Q2" s="1">
        <v>64</v>
      </c>
      <c r="R2" s="1" t="s">
        <v>2</v>
      </c>
      <c r="S2" s="1">
        <v>97.7</v>
      </c>
      <c r="T2" s="1" t="s">
        <v>2</v>
      </c>
      <c r="U2" s="1">
        <v>513.2</v>
      </c>
      <c r="V2" s="1" t="s">
        <v>2</v>
      </c>
      <c r="W2" s="3">
        <v>3</v>
      </c>
    </row>
    <row r="3" ht="15" customHeight="1" spans="1:23">
      <c r="A3" s="1" t="s">
        <v>64</v>
      </c>
      <c r="B3" s="1" t="s">
        <v>54</v>
      </c>
      <c r="C3" s="1">
        <v>103</v>
      </c>
      <c r="D3" s="1" t="s">
        <v>2</v>
      </c>
      <c r="E3" s="1">
        <v>90</v>
      </c>
      <c r="F3" s="1" t="s">
        <v>3</v>
      </c>
      <c r="G3" s="1">
        <v>73.5</v>
      </c>
      <c r="H3" s="1" t="s">
        <v>2</v>
      </c>
      <c r="I3" s="1">
        <v>64.5</v>
      </c>
      <c r="J3" s="1" t="s">
        <v>3</v>
      </c>
      <c r="K3" s="1">
        <v>48</v>
      </c>
      <c r="L3" s="1" t="s">
        <v>2</v>
      </c>
      <c r="M3" s="1">
        <v>24.2</v>
      </c>
      <c r="N3" s="1" t="s">
        <v>2</v>
      </c>
      <c r="O3" s="1">
        <v>45.5</v>
      </c>
      <c r="P3" s="1" t="s">
        <v>3</v>
      </c>
      <c r="Q3" s="1">
        <v>61</v>
      </c>
      <c r="R3" s="1" t="s">
        <v>3</v>
      </c>
      <c r="S3" s="1">
        <v>97.7</v>
      </c>
      <c r="T3" s="1" t="s">
        <v>2</v>
      </c>
      <c r="U3" s="1">
        <v>509.7</v>
      </c>
      <c r="V3" s="1" t="s">
        <v>2</v>
      </c>
      <c r="W3" s="3">
        <v>6</v>
      </c>
    </row>
    <row r="4" ht="15" customHeight="1" spans="1:23">
      <c r="A4" s="1" t="s">
        <v>69</v>
      </c>
      <c r="B4" s="1" t="s">
        <v>54</v>
      </c>
      <c r="C4" s="1">
        <v>105</v>
      </c>
      <c r="D4" s="1" t="s">
        <v>2</v>
      </c>
      <c r="E4" s="1">
        <v>91</v>
      </c>
      <c r="F4" s="1" t="s">
        <v>2</v>
      </c>
      <c r="G4" s="1">
        <v>72.5</v>
      </c>
      <c r="H4" s="1" t="s">
        <v>2</v>
      </c>
      <c r="I4" s="1">
        <v>63</v>
      </c>
      <c r="J4" s="1" t="s">
        <v>3</v>
      </c>
      <c r="K4" s="1">
        <v>42.5</v>
      </c>
      <c r="L4" s="1" t="s">
        <v>3</v>
      </c>
      <c r="M4" s="1">
        <v>24</v>
      </c>
      <c r="N4" s="1" t="s">
        <v>2</v>
      </c>
      <c r="O4" s="1">
        <v>48</v>
      </c>
      <c r="P4" s="1" t="s">
        <v>2</v>
      </c>
      <c r="Q4" s="1">
        <v>62</v>
      </c>
      <c r="R4" s="1" t="s">
        <v>3</v>
      </c>
      <c r="S4" s="1">
        <v>96.5</v>
      </c>
      <c r="T4" s="1" t="s">
        <v>2</v>
      </c>
      <c r="U4" s="1">
        <v>508</v>
      </c>
      <c r="V4" s="1" t="s">
        <v>2</v>
      </c>
      <c r="W4" s="3">
        <v>8</v>
      </c>
    </row>
    <row r="5" ht="15" customHeight="1" spans="1:23">
      <c r="A5" s="1" t="s">
        <v>74</v>
      </c>
      <c r="B5" s="1" t="s">
        <v>54</v>
      </c>
      <c r="C5" s="1">
        <v>100.5</v>
      </c>
      <c r="D5" s="1" t="s">
        <v>2</v>
      </c>
      <c r="E5" s="1">
        <v>86</v>
      </c>
      <c r="F5" s="1" t="s">
        <v>3</v>
      </c>
      <c r="G5" s="1">
        <v>69.5</v>
      </c>
      <c r="H5" s="1" t="s">
        <v>3</v>
      </c>
      <c r="I5" s="1">
        <v>63.5</v>
      </c>
      <c r="J5" s="1" t="s">
        <v>3</v>
      </c>
      <c r="K5" s="1">
        <v>44</v>
      </c>
      <c r="L5" s="1" t="s">
        <v>3</v>
      </c>
      <c r="M5" s="1">
        <v>24.2</v>
      </c>
      <c r="N5" s="1" t="s">
        <v>2</v>
      </c>
      <c r="O5" s="1">
        <v>48</v>
      </c>
      <c r="P5" s="1" t="s">
        <v>2</v>
      </c>
      <c r="Q5" s="1">
        <v>64</v>
      </c>
      <c r="R5" s="1" t="s">
        <v>2</v>
      </c>
      <c r="S5" s="1">
        <v>93.7</v>
      </c>
      <c r="T5" s="1" t="s">
        <v>3</v>
      </c>
      <c r="U5" s="1">
        <v>499.7</v>
      </c>
      <c r="V5" s="1" t="s">
        <v>2</v>
      </c>
      <c r="W5" s="3">
        <v>17</v>
      </c>
    </row>
    <row r="6" ht="15" customHeight="1" spans="1:23">
      <c r="A6" s="1" t="s">
        <v>79</v>
      </c>
      <c r="B6" s="1" t="s">
        <v>54</v>
      </c>
      <c r="C6" s="1">
        <v>103</v>
      </c>
      <c r="D6" s="1" t="s">
        <v>2</v>
      </c>
      <c r="E6" s="1">
        <v>84</v>
      </c>
      <c r="F6" s="1" t="s">
        <v>3</v>
      </c>
      <c r="G6" s="1">
        <v>71.5</v>
      </c>
      <c r="H6" s="1" t="s">
        <v>2</v>
      </c>
      <c r="I6" s="1">
        <v>64.5</v>
      </c>
      <c r="J6" s="1" t="s">
        <v>3</v>
      </c>
      <c r="K6" s="1">
        <v>46</v>
      </c>
      <c r="L6" s="1" t="s">
        <v>2</v>
      </c>
      <c r="M6" s="1">
        <v>24.3</v>
      </c>
      <c r="N6" s="1" t="s">
        <v>2</v>
      </c>
      <c r="O6" s="1">
        <v>46</v>
      </c>
      <c r="P6" s="1" t="s">
        <v>3</v>
      </c>
      <c r="Q6" s="1">
        <v>55</v>
      </c>
      <c r="R6" s="1" t="s">
        <v>5</v>
      </c>
      <c r="S6" s="1">
        <v>95.8</v>
      </c>
      <c r="T6" s="1" t="s">
        <v>2</v>
      </c>
      <c r="U6" s="1">
        <v>494.3</v>
      </c>
      <c r="V6" s="1" t="s">
        <v>3</v>
      </c>
      <c r="W6" s="3">
        <v>23</v>
      </c>
    </row>
    <row r="7" ht="15" customHeight="1" spans="1:23">
      <c r="A7" s="1" t="s">
        <v>85</v>
      </c>
      <c r="B7" s="1" t="s">
        <v>54</v>
      </c>
      <c r="C7" s="1">
        <v>98</v>
      </c>
      <c r="D7" s="1" t="s">
        <v>3</v>
      </c>
      <c r="E7" s="1">
        <v>89</v>
      </c>
      <c r="F7" s="1" t="s">
        <v>3</v>
      </c>
      <c r="G7" s="1">
        <v>69</v>
      </c>
      <c r="H7" s="1" t="s">
        <v>3</v>
      </c>
      <c r="I7" s="1">
        <v>63</v>
      </c>
      <c r="J7" s="1" t="s">
        <v>3</v>
      </c>
      <c r="K7" s="1">
        <v>43</v>
      </c>
      <c r="L7" s="1" t="s">
        <v>3</v>
      </c>
      <c r="M7" s="1">
        <v>22.1</v>
      </c>
      <c r="N7" s="1" t="s">
        <v>3</v>
      </c>
      <c r="O7" s="1">
        <v>44.5</v>
      </c>
      <c r="P7" s="1" t="s">
        <v>3</v>
      </c>
      <c r="Q7" s="1">
        <v>61</v>
      </c>
      <c r="R7" s="1" t="s">
        <v>3</v>
      </c>
      <c r="S7" s="1">
        <v>91.1</v>
      </c>
      <c r="T7" s="1" t="s">
        <v>3</v>
      </c>
      <c r="U7" s="1">
        <v>489.6</v>
      </c>
      <c r="V7" s="1" t="s">
        <v>3</v>
      </c>
      <c r="W7" s="3">
        <v>26</v>
      </c>
    </row>
    <row r="8" ht="15" customHeight="1" spans="1:23">
      <c r="A8" s="1" t="s">
        <v>90</v>
      </c>
      <c r="B8" s="1" t="s">
        <v>54</v>
      </c>
      <c r="C8" s="1">
        <v>100</v>
      </c>
      <c r="D8" s="1" t="s">
        <v>3</v>
      </c>
      <c r="E8" s="1">
        <v>88</v>
      </c>
      <c r="F8" s="1" t="s">
        <v>3</v>
      </c>
      <c r="G8" s="1">
        <v>64</v>
      </c>
      <c r="H8" s="1" t="s">
        <v>3</v>
      </c>
      <c r="I8" s="1">
        <v>58</v>
      </c>
      <c r="J8" s="1" t="s">
        <v>5</v>
      </c>
      <c r="K8" s="1">
        <v>46</v>
      </c>
      <c r="L8" s="1" t="s">
        <v>2</v>
      </c>
      <c r="M8" s="1">
        <v>23.6</v>
      </c>
      <c r="N8" s="1" t="s">
        <v>3</v>
      </c>
      <c r="O8" s="1">
        <v>48</v>
      </c>
      <c r="P8" s="1" t="s">
        <v>2</v>
      </c>
      <c r="Q8" s="1">
        <v>61.5</v>
      </c>
      <c r="R8" s="1" t="s">
        <v>3</v>
      </c>
      <c r="S8" s="1">
        <v>87.6</v>
      </c>
      <c r="T8" s="1" t="s">
        <v>3</v>
      </c>
      <c r="U8" s="1">
        <v>489.1</v>
      </c>
      <c r="V8" s="1" t="s">
        <v>3</v>
      </c>
      <c r="W8" s="3">
        <v>27</v>
      </c>
    </row>
    <row r="9" ht="15" customHeight="1" spans="1:23">
      <c r="A9" s="1" t="s">
        <v>95</v>
      </c>
      <c r="B9" s="1" t="s">
        <v>54</v>
      </c>
      <c r="C9" s="1">
        <v>99.5</v>
      </c>
      <c r="D9" s="1" t="s">
        <v>3</v>
      </c>
      <c r="E9" s="1">
        <v>83</v>
      </c>
      <c r="F9" s="1" t="s">
        <v>3</v>
      </c>
      <c r="G9" s="1">
        <v>69</v>
      </c>
      <c r="H9" s="1" t="s">
        <v>3</v>
      </c>
      <c r="I9" s="1">
        <v>64</v>
      </c>
      <c r="J9" s="1" t="s">
        <v>3</v>
      </c>
      <c r="K9" s="1">
        <v>45</v>
      </c>
      <c r="L9" s="1" t="s">
        <v>3</v>
      </c>
      <c r="M9" s="1">
        <v>21.2</v>
      </c>
      <c r="N9" s="1" t="s">
        <v>5</v>
      </c>
      <c r="O9" s="1">
        <v>44.5</v>
      </c>
      <c r="P9" s="1" t="s">
        <v>3</v>
      </c>
      <c r="Q9" s="1">
        <v>62.5</v>
      </c>
      <c r="R9" s="1" t="s">
        <v>3</v>
      </c>
      <c r="S9" s="1">
        <v>90.2</v>
      </c>
      <c r="T9" s="1" t="s">
        <v>3</v>
      </c>
      <c r="U9" s="1">
        <v>488.7</v>
      </c>
      <c r="V9" s="1" t="s">
        <v>3</v>
      </c>
      <c r="W9" s="3">
        <v>30</v>
      </c>
    </row>
    <row r="10" ht="15" customHeight="1" spans="1:23">
      <c r="A10" s="1" t="s">
        <v>100</v>
      </c>
      <c r="B10" s="1" t="s">
        <v>54</v>
      </c>
      <c r="C10" s="1">
        <v>96</v>
      </c>
      <c r="D10" s="1" t="s">
        <v>3</v>
      </c>
      <c r="E10" s="1">
        <v>83</v>
      </c>
      <c r="F10" s="1" t="s">
        <v>3</v>
      </c>
      <c r="G10" s="1">
        <v>73</v>
      </c>
      <c r="H10" s="1" t="s">
        <v>2</v>
      </c>
      <c r="I10" s="1">
        <v>63.5</v>
      </c>
      <c r="J10" s="1" t="s">
        <v>3</v>
      </c>
      <c r="K10" s="1">
        <v>43</v>
      </c>
      <c r="L10" s="1" t="s">
        <v>3</v>
      </c>
      <c r="M10" s="1">
        <v>23.9</v>
      </c>
      <c r="N10" s="1" t="s">
        <v>2</v>
      </c>
      <c r="O10" s="1">
        <v>45</v>
      </c>
      <c r="P10" s="1" t="s">
        <v>3</v>
      </c>
      <c r="Q10" s="1">
        <v>58.5</v>
      </c>
      <c r="R10" s="1" t="s">
        <v>3</v>
      </c>
      <c r="S10" s="1">
        <v>96.9</v>
      </c>
      <c r="T10" s="1" t="s">
        <v>2</v>
      </c>
      <c r="U10" s="1">
        <v>485.9</v>
      </c>
      <c r="V10" s="1" t="s">
        <v>3</v>
      </c>
      <c r="W10" s="3">
        <v>32</v>
      </c>
    </row>
    <row r="11" ht="15" customHeight="1" spans="1:23">
      <c r="A11" s="1" t="s">
        <v>105</v>
      </c>
      <c r="B11" s="1" t="s">
        <v>54</v>
      </c>
      <c r="C11" s="1">
        <v>105</v>
      </c>
      <c r="D11" s="1" t="s">
        <v>2</v>
      </c>
      <c r="E11" s="1">
        <v>87</v>
      </c>
      <c r="F11" s="1" t="s">
        <v>3</v>
      </c>
      <c r="G11" s="1">
        <v>71.5</v>
      </c>
      <c r="H11" s="1" t="s">
        <v>2</v>
      </c>
      <c r="I11" s="1">
        <v>56</v>
      </c>
      <c r="J11" s="1" t="s">
        <v>5</v>
      </c>
      <c r="K11" s="1">
        <v>43.5</v>
      </c>
      <c r="L11" s="1" t="s">
        <v>3</v>
      </c>
      <c r="M11" s="1">
        <v>23.6</v>
      </c>
      <c r="N11" s="1" t="s">
        <v>3</v>
      </c>
      <c r="O11" s="1">
        <v>46.5</v>
      </c>
      <c r="P11" s="1" t="s">
        <v>3</v>
      </c>
      <c r="Q11" s="1">
        <v>51.5</v>
      </c>
      <c r="R11" s="1" t="s">
        <v>5</v>
      </c>
      <c r="S11" s="1">
        <v>95.1</v>
      </c>
      <c r="T11" s="1" t="s">
        <v>2</v>
      </c>
      <c r="U11" s="1">
        <v>484.6</v>
      </c>
      <c r="V11" s="1" t="s">
        <v>3</v>
      </c>
      <c r="W11" s="3">
        <v>36</v>
      </c>
    </row>
    <row r="12" ht="15" customHeight="1" spans="1:23">
      <c r="A12" s="1" t="s">
        <v>110</v>
      </c>
      <c r="B12" s="1" t="s">
        <v>54</v>
      </c>
      <c r="C12" s="1">
        <v>95</v>
      </c>
      <c r="D12" s="1" t="s">
        <v>3</v>
      </c>
      <c r="E12" s="1">
        <v>84</v>
      </c>
      <c r="F12" s="1" t="s">
        <v>3</v>
      </c>
      <c r="G12" s="1">
        <v>65.5</v>
      </c>
      <c r="H12" s="1" t="s">
        <v>3</v>
      </c>
      <c r="I12" s="1">
        <v>60.5</v>
      </c>
      <c r="J12" s="1" t="s">
        <v>3</v>
      </c>
      <c r="K12" s="1">
        <v>46.5</v>
      </c>
      <c r="L12" s="1" t="s">
        <v>2</v>
      </c>
      <c r="M12" s="1">
        <v>21.4</v>
      </c>
      <c r="N12" s="1" t="s">
        <v>5</v>
      </c>
      <c r="O12" s="1">
        <v>41.5</v>
      </c>
      <c r="P12" s="1" t="s">
        <v>5</v>
      </c>
      <c r="Q12" s="1">
        <v>65.5</v>
      </c>
      <c r="R12" s="1" t="s">
        <v>2</v>
      </c>
      <c r="S12" s="1">
        <v>86.9</v>
      </c>
      <c r="T12" s="1" t="s">
        <v>3</v>
      </c>
      <c r="U12" s="1">
        <v>479.9</v>
      </c>
      <c r="V12" s="1" t="s">
        <v>3</v>
      </c>
      <c r="W12" s="3">
        <v>43</v>
      </c>
    </row>
    <row r="13" ht="15" customHeight="1" spans="1:23">
      <c r="A13" s="1" t="s">
        <v>115</v>
      </c>
      <c r="B13" s="1" t="s">
        <v>54</v>
      </c>
      <c r="C13" s="1">
        <v>94</v>
      </c>
      <c r="D13" s="1" t="s">
        <v>3</v>
      </c>
      <c r="E13" s="1">
        <v>87</v>
      </c>
      <c r="F13" s="1" t="s">
        <v>3</v>
      </c>
      <c r="G13" s="1">
        <v>68.5</v>
      </c>
      <c r="H13" s="1" t="s">
        <v>3</v>
      </c>
      <c r="I13" s="1">
        <v>63.5</v>
      </c>
      <c r="J13" s="1" t="s">
        <v>3</v>
      </c>
      <c r="K13" s="1">
        <v>36</v>
      </c>
      <c r="L13" s="1" t="s">
        <v>7</v>
      </c>
      <c r="M13" s="1">
        <v>22.9</v>
      </c>
      <c r="N13" s="1" t="s">
        <v>3</v>
      </c>
      <c r="O13" s="1">
        <v>47</v>
      </c>
      <c r="P13" s="1" t="s">
        <v>3</v>
      </c>
      <c r="Q13" s="1">
        <v>60.5</v>
      </c>
      <c r="R13" s="1" t="s">
        <v>3</v>
      </c>
      <c r="S13" s="1">
        <v>91.4</v>
      </c>
      <c r="T13" s="1" t="s">
        <v>3</v>
      </c>
      <c r="U13" s="1">
        <v>479.4</v>
      </c>
      <c r="V13" s="1" t="s">
        <v>3</v>
      </c>
      <c r="W13" s="3">
        <v>45</v>
      </c>
    </row>
    <row r="14" ht="15" customHeight="1" spans="1:23">
      <c r="A14" s="1" t="s">
        <v>120</v>
      </c>
      <c r="B14" s="1" t="s">
        <v>54</v>
      </c>
      <c r="C14" s="1">
        <v>97</v>
      </c>
      <c r="D14" s="1" t="s">
        <v>3</v>
      </c>
      <c r="E14" s="1">
        <v>80</v>
      </c>
      <c r="F14" s="1" t="s">
        <v>5</v>
      </c>
      <c r="G14" s="1">
        <v>74</v>
      </c>
      <c r="H14" s="1" t="s">
        <v>2</v>
      </c>
      <c r="I14" s="1">
        <v>64.5</v>
      </c>
      <c r="J14" s="1" t="s">
        <v>3</v>
      </c>
      <c r="K14" s="1">
        <v>46</v>
      </c>
      <c r="L14" s="1" t="s">
        <v>2</v>
      </c>
      <c r="M14" s="1">
        <v>24.2</v>
      </c>
      <c r="N14" s="1" t="s">
        <v>2</v>
      </c>
      <c r="O14" s="1">
        <v>39.5</v>
      </c>
      <c r="P14" s="1" t="s">
        <v>5</v>
      </c>
      <c r="Q14" s="1">
        <v>53.5</v>
      </c>
      <c r="R14" s="1" t="s">
        <v>5</v>
      </c>
      <c r="S14" s="1">
        <v>98.2</v>
      </c>
      <c r="T14" s="1" t="s">
        <v>2</v>
      </c>
      <c r="U14" s="1">
        <v>478.7</v>
      </c>
      <c r="V14" s="1" t="s">
        <v>3</v>
      </c>
      <c r="W14" s="3">
        <v>47</v>
      </c>
    </row>
    <row r="15" ht="15" customHeight="1" spans="1:23">
      <c r="A15" s="1" t="s">
        <v>125</v>
      </c>
      <c r="B15" s="1" t="s">
        <v>54</v>
      </c>
      <c r="C15" s="1">
        <v>93.5</v>
      </c>
      <c r="D15" s="1" t="s">
        <v>3</v>
      </c>
      <c r="E15" s="1">
        <v>86</v>
      </c>
      <c r="F15" s="1" t="s">
        <v>3</v>
      </c>
      <c r="G15" s="1">
        <v>67.5</v>
      </c>
      <c r="H15" s="1" t="s">
        <v>3</v>
      </c>
      <c r="I15" s="1">
        <v>60</v>
      </c>
      <c r="J15" s="1" t="s">
        <v>3</v>
      </c>
      <c r="K15" s="1">
        <v>41</v>
      </c>
      <c r="L15" s="1" t="s">
        <v>5</v>
      </c>
      <c r="M15" s="1">
        <v>22.8</v>
      </c>
      <c r="N15" s="1" t="s">
        <v>3</v>
      </c>
      <c r="O15" s="1">
        <v>47</v>
      </c>
      <c r="P15" s="1" t="s">
        <v>3</v>
      </c>
      <c r="Q15" s="1">
        <v>57.5</v>
      </c>
      <c r="R15" s="1" t="s">
        <v>3</v>
      </c>
      <c r="S15" s="1">
        <v>90.3</v>
      </c>
      <c r="T15" s="1" t="s">
        <v>3</v>
      </c>
      <c r="U15" s="1">
        <v>475.3</v>
      </c>
      <c r="V15" s="1" t="s">
        <v>3</v>
      </c>
      <c r="W15" s="3">
        <v>52</v>
      </c>
    </row>
    <row r="16" ht="15" customHeight="1" spans="1:23">
      <c r="A16" s="1" t="s">
        <v>130</v>
      </c>
      <c r="B16" s="1" t="s">
        <v>54</v>
      </c>
      <c r="C16" s="1">
        <v>98.5</v>
      </c>
      <c r="D16" s="1" t="s">
        <v>3</v>
      </c>
      <c r="E16" s="1">
        <v>82</v>
      </c>
      <c r="F16" s="1" t="s">
        <v>5</v>
      </c>
      <c r="G16" s="1">
        <v>61.5</v>
      </c>
      <c r="H16" s="1" t="s">
        <v>5</v>
      </c>
      <c r="I16" s="1">
        <v>61</v>
      </c>
      <c r="J16" s="1" t="s">
        <v>3</v>
      </c>
      <c r="K16" s="1">
        <v>45.5</v>
      </c>
      <c r="L16" s="1" t="s">
        <v>2</v>
      </c>
      <c r="M16" s="1">
        <v>20.2</v>
      </c>
      <c r="N16" s="1" t="s">
        <v>5</v>
      </c>
      <c r="O16" s="1">
        <v>44.5</v>
      </c>
      <c r="P16" s="1" t="s">
        <v>3</v>
      </c>
      <c r="Q16" s="1">
        <v>60</v>
      </c>
      <c r="R16" s="1" t="s">
        <v>3</v>
      </c>
      <c r="S16" s="1">
        <v>81.7</v>
      </c>
      <c r="T16" s="1" t="s">
        <v>5</v>
      </c>
      <c r="U16" s="1">
        <v>473.2</v>
      </c>
      <c r="V16" s="1" t="s">
        <v>3</v>
      </c>
      <c r="W16" s="3">
        <v>54</v>
      </c>
    </row>
    <row r="17" ht="15" customHeight="1" spans="1:23">
      <c r="A17" s="1" t="s">
        <v>135</v>
      </c>
      <c r="B17" s="1" t="s">
        <v>54</v>
      </c>
      <c r="C17" s="1">
        <v>91.5</v>
      </c>
      <c r="D17" s="1" t="s">
        <v>5</v>
      </c>
      <c r="E17" s="1">
        <v>78</v>
      </c>
      <c r="F17" s="1" t="s">
        <v>5</v>
      </c>
      <c r="G17" s="1">
        <v>61.5</v>
      </c>
      <c r="H17" s="1" t="s">
        <v>5</v>
      </c>
      <c r="I17" s="1">
        <v>62</v>
      </c>
      <c r="J17" s="1" t="s">
        <v>3</v>
      </c>
      <c r="K17" s="1">
        <v>47</v>
      </c>
      <c r="L17" s="1" t="s">
        <v>2</v>
      </c>
      <c r="M17" s="1">
        <v>20.2</v>
      </c>
      <c r="N17" s="1" t="s">
        <v>5</v>
      </c>
      <c r="O17" s="1">
        <v>46</v>
      </c>
      <c r="P17" s="1" t="s">
        <v>3</v>
      </c>
      <c r="Q17" s="1">
        <v>62.5</v>
      </c>
      <c r="R17" s="1" t="s">
        <v>3</v>
      </c>
      <c r="S17" s="1">
        <v>81.7</v>
      </c>
      <c r="T17" s="1" t="s">
        <v>5</v>
      </c>
      <c r="U17" s="1">
        <v>468.7</v>
      </c>
      <c r="V17" s="1" t="s">
        <v>3</v>
      </c>
      <c r="W17" s="3">
        <v>64</v>
      </c>
    </row>
    <row r="18" ht="15" customHeight="1" spans="1:23">
      <c r="A18" s="1" t="s">
        <v>140</v>
      </c>
      <c r="B18" s="1" t="s">
        <v>54</v>
      </c>
      <c r="C18" s="1">
        <v>92</v>
      </c>
      <c r="D18" s="1" t="s">
        <v>5</v>
      </c>
      <c r="E18" s="1">
        <v>92</v>
      </c>
      <c r="F18" s="1" t="s">
        <v>2</v>
      </c>
      <c r="G18" s="1">
        <v>60</v>
      </c>
      <c r="H18" s="1" t="s">
        <v>5</v>
      </c>
      <c r="I18" s="1">
        <v>59</v>
      </c>
      <c r="J18" s="1" t="s">
        <v>5</v>
      </c>
      <c r="K18" s="1">
        <v>41</v>
      </c>
      <c r="L18" s="1" t="s">
        <v>5</v>
      </c>
      <c r="M18" s="1">
        <v>21.4</v>
      </c>
      <c r="N18" s="1" t="s">
        <v>5</v>
      </c>
      <c r="O18" s="1">
        <v>43</v>
      </c>
      <c r="P18" s="1" t="s">
        <v>5</v>
      </c>
      <c r="Q18" s="1">
        <v>60</v>
      </c>
      <c r="R18" s="1" t="s">
        <v>3</v>
      </c>
      <c r="S18" s="1">
        <v>81.4</v>
      </c>
      <c r="T18" s="1" t="s">
        <v>5</v>
      </c>
      <c r="U18" s="1">
        <v>468.4</v>
      </c>
      <c r="V18" s="1" t="s">
        <v>3</v>
      </c>
      <c r="W18" s="3">
        <v>65</v>
      </c>
    </row>
    <row r="19" ht="15" customHeight="1" spans="1:23">
      <c r="A19" s="1" t="s">
        <v>145</v>
      </c>
      <c r="B19" s="1" t="s">
        <v>54</v>
      </c>
      <c r="C19" s="1">
        <v>93</v>
      </c>
      <c r="D19" s="1" t="s">
        <v>3</v>
      </c>
      <c r="E19" s="1">
        <v>83</v>
      </c>
      <c r="F19" s="1" t="s">
        <v>3</v>
      </c>
      <c r="G19" s="1">
        <v>66.5</v>
      </c>
      <c r="H19" s="1" t="s">
        <v>3</v>
      </c>
      <c r="I19" s="1">
        <v>63</v>
      </c>
      <c r="J19" s="1" t="s">
        <v>3</v>
      </c>
      <c r="K19" s="1">
        <v>43</v>
      </c>
      <c r="L19" s="1" t="s">
        <v>3</v>
      </c>
      <c r="M19" s="1">
        <v>21.8</v>
      </c>
      <c r="N19" s="1" t="s">
        <v>5</v>
      </c>
      <c r="O19" s="1">
        <v>46.5</v>
      </c>
      <c r="P19" s="1" t="s">
        <v>3</v>
      </c>
      <c r="Q19" s="1">
        <v>51.5</v>
      </c>
      <c r="R19" s="1" t="s">
        <v>5</v>
      </c>
      <c r="S19" s="1">
        <v>88.3</v>
      </c>
      <c r="T19" s="1" t="s">
        <v>3</v>
      </c>
      <c r="U19" s="1">
        <v>468.3</v>
      </c>
      <c r="V19" s="1" t="s">
        <v>3</v>
      </c>
      <c r="W19" s="3">
        <v>66</v>
      </c>
    </row>
    <row r="20" ht="15" customHeight="1" spans="1:23">
      <c r="A20" s="1" t="s">
        <v>150</v>
      </c>
      <c r="B20" s="1" t="s">
        <v>54</v>
      </c>
      <c r="C20" s="1">
        <v>97</v>
      </c>
      <c r="D20" s="1" t="s">
        <v>3</v>
      </c>
      <c r="E20" s="1">
        <v>80</v>
      </c>
      <c r="F20" s="1" t="s">
        <v>5</v>
      </c>
      <c r="G20" s="1">
        <v>65.5</v>
      </c>
      <c r="H20" s="1" t="s">
        <v>3</v>
      </c>
      <c r="I20" s="1">
        <v>59</v>
      </c>
      <c r="J20" s="1" t="s">
        <v>5</v>
      </c>
      <c r="K20" s="1">
        <v>42</v>
      </c>
      <c r="L20" s="1" t="s">
        <v>3</v>
      </c>
      <c r="M20" s="1">
        <v>20</v>
      </c>
      <c r="N20" s="1" t="s">
        <v>5</v>
      </c>
      <c r="O20" s="1">
        <v>45</v>
      </c>
      <c r="P20" s="1" t="s">
        <v>3</v>
      </c>
      <c r="Q20" s="1">
        <v>58</v>
      </c>
      <c r="R20" s="1" t="s">
        <v>3</v>
      </c>
      <c r="S20" s="1">
        <v>85.5</v>
      </c>
      <c r="T20" s="1" t="s">
        <v>3</v>
      </c>
      <c r="U20" s="1">
        <v>466.5</v>
      </c>
      <c r="V20" s="1" t="s">
        <v>3</v>
      </c>
      <c r="W20" s="3">
        <v>71</v>
      </c>
    </row>
    <row r="21" ht="15" customHeight="1" spans="1:23">
      <c r="A21" s="1" t="s">
        <v>155</v>
      </c>
      <c r="B21" s="1" t="s">
        <v>54</v>
      </c>
      <c r="C21" s="1">
        <v>97</v>
      </c>
      <c r="D21" s="1" t="s">
        <v>3</v>
      </c>
      <c r="E21" s="1">
        <v>88</v>
      </c>
      <c r="F21" s="1" t="s">
        <v>3</v>
      </c>
      <c r="G21" s="1">
        <v>62</v>
      </c>
      <c r="H21" s="1" t="s">
        <v>5</v>
      </c>
      <c r="I21" s="1">
        <v>64</v>
      </c>
      <c r="J21" s="1" t="s">
        <v>3</v>
      </c>
      <c r="K21" s="1">
        <v>44</v>
      </c>
      <c r="L21" s="1" t="s">
        <v>3</v>
      </c>
      <c r="M21" s="1">
        <v>22.5</v>
      </c>
      <c r="N21" s="1" t="s">
        <v>3</v>
      </c>
      <c r="O21" s="1">
        <v>37.5</v>
      </c>
      <c r="P21" s="1" t="s">
        <v>5</v>
      </c>
      <c r="Q21" s="1">
        <v>47</v>
      </c>
      <c r="R21" s="1" t="s">
        <v>5</v>
      </c>
      <c r="S21" s="1">
        <v>84.5</v>
      </c>
      <c r="T21" s="1" t="s">
        <v>5</v>
      </c>
      <c r="U21" s="1">
        <v>462</v>
      </c>
      <c r="V21" s="1" t="s">
        <v>3</v>
      </c>
      <c r="W21" s="3">
        <v>83</v>
      </c>
    </row>
    <row r="22" ht="15" customHeight="1" spans="1:23">
      <c r="A22" s="1" t="s">
        <v>160</v>
      </c>
      <c r="B22" s="1" t="s">
        <v>54</v>
      </c>
      <c r="C22" s="1">
        <v>91</v>
      </c>
      <c r="D22" s="1" t="s">
        <v>5</v>
      </c>
      <c r="E22" s="1">
        <v>82</v>
      </c>
      <c r="F22" s="1" t="s">
        <v>5</v>
      </c>
      <c r="G22" s="1">
        <v>66</v>
      </c>
      <c r="H22" s="1" t="s">
        <v>3</v>
      </c>
      <c r="I22" s="1">
        <v>58.5</v>
      </c>
      <c r="J22" s="1" t="s">
        <v>5</v>
      </c>
      <c r="K22" s="1">
        <v>41</v>
      </c>
      <c r="L22" s="1" t="s">
        <v>5</v>
      </c>
      <c r="M22" s="1">
        <v>21.3</v>
      </c>
      <c r="N22" s="1" t="s">
        <v>5</v>
      </c>
      <c r="O22" s="1">
        <v>42</v>
      </c>
      <c r="P22" s="1" t="s">
        <v>5</v>
      </c>
      <c r="Q22" s="1">
        <v>59</v>
      </c>
      <c r="R22" s="1" t="s">
        <v>3</v>
      </c>
      <c r="S22" s="1">
        <v>87.3</v>
      </c>
      <c r="T22" s="1" t="s">
        <v>3</v>
      </c>
      <c r="U22" s="1">
        <v>460.8</v>
      </c>
      <c r="V22" s="1" t="s">
        <v>3</v>
      </c>
      <c r="W22" s="3">
        <v>87</v>
      </c>
    </row>
    <row r="23" ht="15" customHeight="1" spans="1:23">
      <c r="A23" s="1" t="s">
        <v>165</v>
      </c>
      <c r="B23" s="1" t="s">
        <v>54</v>
      </c>
      <c r="C23" s="1">
        <v>96</v>
      </c>
      <c r="D23" s="1" t="s">
        <v>3</v>
      </c>
      <c r="E23" s="1">
        <v>77</v>
      </c>
      <c r="F23" s="1" t="s">
        <v>5</v>
      </c>
      <c r="G23" s="1">
        <v>69.5</v>
      </c>
      <c r="H23" s="1" t="s">
        <v>3</v>
      </c>
      <c r="I23" s="1">
        <v>64.5</v>
      </c>
      <c r="J23" s="1" t="s">
        <v>3</v>
      </c>
      <c r="K23" s="1">
        <v>41.5</v>
      </c>
      <c r="L23" s="1" t="s">
        <v>3</v>
      </c>
      <c r="M23" s="1">
        <v>21.3</v>
      </c>
      <c r="N23" s="1" t="s">
        <v>5</v>
      </c>
      <c r="O23" s="1">
        <v>39</v>
      </c>
      <c r="P23" s="1" t="s">
        <v>406</v>
      </c>
      <c r="Q23" s="1">
        <v>42.5</v>
      </c>
      <c r="R23" s="1" t="s">
        <v>406</v>
      </c>
      <c r="S23" s="1">
        <v>90.8</v>
      </c>
      <c r="T23" s="1" t="s">
        <v>3</v>
      </c>
      <c r="U23" s="1">
        <v>460.6</v>
      </c>
      <c r="V23" s="1" t="s">
        <v>3</v>
      </c>
      <c r="W23" s="3">
        <v>88</v>
      </c>
    </row>
    <row r="24" ht="15" customHeight="1" spans="1:23">
      <c r="A24" s="1" t="s">
        <v>170</v>
      </c>
      <c r="B24" s="1" t="s">
        <v>54</v>
      </c>
      <c r="C24" s="1">
        <v>96</v>
      </c>
      <c r="D24" s="1" t="s">
        <v>3</v>
      </c>
      <c r="E24" s="1">
        <v>85</v>
      </c>
      <c r="F24" s="1" t="s">
        <v>3</v>
      </c>
      <c r="G24" s="1">
        <v>66</v>
      </c>
      <c r="H24" s="1" t="s">
        <v>3</v>
      </c>
      <c r="I24" s="1">
        <v>57</v>
      </c>
      <c r="J24" s="1" t="s">
        <v>5</v>
      </c>
      <c r="K24" s="1">
        <v>45</v>
      </c>
      <c r="L24" s="1" t="s">
        <v>3</v>
      </c>
      <c r="M24" s="1">
        <v>18.5</v>
      </c>
      <c r="N24" s="1" t="s">
        <v>5</v>
      </c>
      <c r="O24" s="1">
        <v>39.5</v>
      </c>
      <c r="P24" s="1" t="s">
        <v>5</v>
      </c>
      <c r="Q24" s="1">
        <v>52.5</v>
      </c>
      <c r="R24" s="1" t="s">
        <v>5</v>
      </c>
      <c r="S24" s="1">
        <v>84.5</v>
      </c>
      <c r="T24" s="1" t="s">
        <v>5</v>
      </c>
      <c r="U24" s="1">
        <v>459.5</v>
      </c>
      <c r="V24" s="1" t="s">
        <v>3</v>
      </c>
      <c r="W24" s="3">
        <v>93</v>
      </c>
    </row>
    <row r="25" ht="15" customHeight="1" spans="1:23">
      <c r="A25" s="1" t="s">
        <v>175</v>
      </c>
      <c r="B25" s="1" t="s">
        <v>54</v>
      </c>
      <c r="C25" s="1">
        <v>91.5</v>
      </c>
      <c r="D25" s="1" t="s">
        <v>5</v>
      </c>
      <c r="E25" s="1">
        <v>84</v>
      </c>
      <c r="F25" s="1" t="s">
        <v>3</v>
      </c>
      <c r="G25" s="1">
        <v>64</v>
      </c>
      <c r="H25" s="1" t="s">
        <v>3</v>
      </c>
      <c r="I25" s="1">
        <v>57.5</v>
      </c>
      <c r="J25" s="1" t="s">
        <v>5</v>
      </c>
      <c r="K25" s="1">
        <v>44.5</v>
      </c>
      <c r="L25" s="1" t="s">
        <v>3</v>
      </c>
      <c r="M25" s="1">
        <v>20.8</v>
      </c>
      <c r="N25" s="1" t="s">
        <v>5</v>
      </c>
      <c r="O25" s="1">
        <v>39</v>
      </c>
      <c r="P25" s="1" t="s">
        <v>5</v>
      </c>
      <c r="Q25" s="1">
        <v>58</v>
      </c>
      <c r="R25" s="1" t="s">
        <v>3</v>
      </c>
      <c r="S25" s="1">
        <v>84.8</v>
      </c>
      <c r="T25" s="1" t="s">
        <v>5</v>
      </c>
      <c r="U25" s="1">
        <v>459.3</v>
      </c>
      <c r="V25" s="1" t="s">
        <v>3</v>
      </c>
      <c r="W25" s="3">
        <v>95</v>
      </c>
    </row>
    <row r="26" ht="15" customHeight="1" spans="1:23">
      <c r="A26" s="1" t="s">
        <v>180</v>
      </c>
      <c r="B26" s="1" t="s">
        <v>54</v>
      </c>
      <c r="C26" s="1">
        <v>94</v>
      </c>
      <c r="D26" s="1" t="s">
        <v>3</v>
      </c>
      <c r="E26" s="1">
        <v>83</v>
      </c>
      <c r="F26" s="1" t="s">
        <v>3</v>
      </c>
      <c r="G26" s="1">
        <v>64.5</v>
      </c>
      <c r="H26" s="1" t="s">
        <v>3</v>
      </c>
      <c r="I26" s="1">
        <v>61</v>
      </c>
      <c r="J26" s="1" t="s">
        <v>3</v>
      </c>
      <c r="K26" s="1">
        <v>47</v>
      </c>
      <c r="L26" s="1" t="s">
        <v>2</v>
      </c>
      <c r="M26" s="1">
        <v>22.9</v>
      </c>
      <c r="N26" s="1" t="s">
        <v>3</v>
      </c>
      <c r="O26" s="1">
        <v>36</v>
      </c>
      <c r="P26" s="1" t="s">
        <v>7</v>
      </c>
      <c r="Q26" s="1">
        <v>47</v>
      </c>
      <c r="R26" s="1" t="s">
        <v>5</v>
      </c>
      <c r="S26" s="1">
        <v>87.4</v>
      </c>
      <c r="T26" s="1" t="s">
        <v>3</v>
      </c>
      <c r="U26" s="1">
        <v>455.4</v>
      </c>
      <c r="V26" s="1" t="s">
        <v>5</v>
      </c>
      <c r="W26" s="3">
        <v>99</v>
      </c>
    </row>
    <row r="27" ht="15" customHeight="1" spans="1:23">
      <c r="A27" s="1" t="s">
        <v>185</v>
      </c>
      <c r="B27" s="1" t="s">
        <v>54</v>
      </c>
      <c r="C27" s="1">
        <v>88.5</v>
      </c>
      <c r="D27" s="1" t="s">
        <v>5</v>
      </c>
      <c r="E27" s="1">
        <v>84</v>
      </c>
      <c r="F27" s="1" t="s">
        <v>3</v>
      </c>
      <c r="G27" s="1">
        <v>71.5</v>
      </c>
      <c r="H27" s="1" t="s">
        <v>2</v>
      </c>
      <c r="I27" s="1">
        <v>48.5</v>
      </c>
      <c r="J27" s="1" t="s">
        <v>7</v>
      </c>
      <c r="K27" s="1">
        <v>39.5</v>
      </c>
      <c r="L27" s="1" t="s">
        <v>5</v>
      </c>
      <c r="M27" s="1">
        <v>23.9</v>
      </c>
      <c r="N27" s="1" t="s">
        <v>2</v>
      </c>
      <c r="O27" s="1">
        <v>42.5</v>
      </c>
      <c r="P27" s="1" t="s">
        <v>406</v>
      </c>
      <c r="Q27" s="1">
        <v>51</v>
      </c>
      <c r="R27" s="1" t="s">
        <v>406</v>
      </c>
      <c r="S27" s="1">
        <v>95.4</v>
      </c>
      <c r="T27" s="1" t="s">
        <v>2</v>
      </c>
      <c r="U27" s="1">
        <v>449.4</v>
      </c>
      <c r="V27" s="1" t="s">
        <v>5</v>
      </c>
      <c r="W27" s="3">
        <v>104</v>
      </c>
    </row>
    <row r="28" ht="15" customHeight="1" spans="1:23">
      <c r="A28" s="1" t="s">
        <v>190</v>
      </c>
      <c r="B28" s="1" t="s">
        <v>54</v>
      </c>
      <c r="C28" s="1">
        <v>96</v>
      </c>
      <c r="D28" s="1" t="s">
        <v>3</v>
      </c>
      <c r="E28" s="1">
        <v>79</v>
      </c>
      <c r="F28" s="1" t="s">
        <v>5</v>
      </c>
      <c r="G28" s="1">
        <v>60.5</v>
      </c>
      <c r="H28" s="1" t="s">
        <v>5</v>
      </c>
      <c r="I28" s="1">
        <v>60</v>
      </c>
      <c r="J28" s="1" t="s">
        <v>3</v>
      </c>
      <c r="K28" s="1">
        <v>45</v>
      </c>
      <c r="L28" s="1" t="s">
        <v>3</v>
      </c>
      <c r="M28" s="1">
        <v>20.2</v>
      </c>
      <c r="N28" s="1" t="s">
        <v>5</v>
      </c>
      <c r="O28" s="1">
        <v>37.5</v>
      </c>
      <c r="P28" s="1" t="s">
        <v>5</v>
      </c>
      <c r="Q28" s="1">
        <v>50</v>
      </c>
      <c r="R28" s="1" t="s">
        <v>5</v>
      </c>
      <c r="S28" s="1">
        <v>80.7</v>
      </c>
      <c r="T28" s="1" t="s">
        <v>5</v>
      </c>
      <c r="U28" s="1">
        <v>448.2</v>
      </c>
      <c r="V28" s="1" t="s">
        <v>5</v>
      </c>
      <c r="W28" s="3">
        <v>107</v>
      </c>
    </row>
    <row r="29" ht="15" customHeight="1" spans="1:23">
      <c r="A29" s="1" t="s">
        <v>195</v>
      </c>
      <c r="B29" s="1" t="s">
        <v>54</v>
      </c>
      <c r="C29" s="1">
        <v>85.5</v>
      </c>
      <c r="D29" s="1" t="s">
        <v>5</v>
      </c>
      <c r="E29" s="1">
        <v>79</v>
      </c>
      <c r="F29" s="1" t="s">
        <v>5</v>
      </c>
      <c r="G29" s="1">
        <v>60.5</v>
      </c>
      <c r="H29" s="1" t="s">
        <v>5</v>
      </c>
      <c r="I29" s="1">
        <v>60</v>
      </c>
      <c r="J29" s="1" t="s">
        <v>3</v>
      </c>
      <c r="K29" s="1">
        <v>40</v>
      </c>
      <c r="L29" s="1" t="s">
        <v>5</v>
      </c>
      <c r="M29" s="1">
        <v>20.4</v>
      </c>
      <c r="N29" s="1" t="s">
        <v>5</v>
      </c>
      <c r="O29" s="1">
        <v>41.5</v>
      </c>
      <c r="P29" s="1" t="s">
        <v>5</v>
      </c>
      <c r="Q29" s="1">
        <v>57.5</v>
      </c>
      <c r="R29" s="1" t="s">
        <v>3</v>
      </c>
      <c r="S29" s="1">
        <v>80.9</v>
      </c>
      <c r="T29" s="1" t="s">
        <v>5</v>
      </c>
      <c r="U29" s="1">
        <v>444.4</v>
      </c>
      <c r="V29" s="1" t="s">
        <v>5</v>
      </c>
      <c r="W29" s="3">
        <v>113</v>
      </c>
    </row>
    <row r="30" ht="15" customHeight="1" spans="1:23">
      <c r="A30" s="1" t="s">
        <v>200</v>
      </c>
      <c r="B30" s="1" t="s">
        <v>54</v>
      </c>
      <c r="C30" s="1">
        <v>93.5</v>
      </c>
      <c r="D30" s="1" t="s">
        <v>3</v>
      </c>
      <c r="E30" s="1">
        <v>81</v>
      </c>
      <c r="F30" s="1" t="s">
        <v>5</v>
      </c>
      <c r="G30" s="1">
        <v>47.5</v>
      </c>
      <c r="H30" s="1" t="s">
        <v>7</v>
      </c>
      <c r="I30" s="1">
        <v>59</v>
      </c>
      <c r="J30" s="1" t="s">
        <v>5</v>
      </c>
      <c r="K30" s="1">
        <v>42</v>
      </c>
      <c r="L30" s="1" t="s">
        <v>3</v>
      </c>
      <c r="M30" s="1">
        <v>19.7</v>
      </c>
      <c r="N30" s="1" t="s">
        <v>5</v>
      </c>
      <c r="O30" s="1">
        <v>45</v>
      </c>
      <c r="P30" s="1" t="s">
        <v>3</v>
      </c>
      <c r="Q30" s="1">
        <v>48</v>
      </c>
      <c r="R30" s="1" t="s">
        <v>5</v>
      </c>
      <c r="S30" s="1">
        <v>67.2</v>
      </c>
      <c r="T30" s="1" t="s">
        <v>5</v>
      </c>
      <c r="U30" s="1">
        <v>435.7</v>
      </c>
      <c r="V30" s="1" t="s">
        <v>5</v>
      </c>
      <c r="W30" s="3">
        <v>126</v>
      </c>
    </row>
    <row r="31" ht="15" customHeight="1" spans="1:23">
      <c r="A31" s="1" t="s">
        <v>205</v>
      </c>
      <c r="B31" s="1" t="s">
        <v>54</v>
      </c>
      <c r="C31" s="1">
        <v>88</v>
      </c>
      <c r="D31" s="1" t="s">
        <v>5</v>
      </c>
      <c r="E31" s="1">
        <v>78</v>
      </c>
      <c r="F31" s="1" t="s">
        <v>5</v>
      </c>
      <c r="G31" s="1">
        <v>55</v>
      </c>
      <c r="H31" s="1" t="s">
        <v>5</v>
      </c>
      <c r="I31" s="1">
        <v>58</v>
      </c>
      <c r="J31" s="1" t="s">
        <v>5</v>
      </c>
      <c r="K31" s="1">
        <v>44.5</v>
      </c>
      <c r="L31" s="1" t="s">
        <v>3</v>
      </c>
      <c r="M31" s="1">
        <v>19.4</v>
      </c>
      <c r="N31" s="1" t="s">
        <v>5</v>
      </c>
      <c r="O31" s="1">
        <v>38.5</v>
      </c>
      <c r="P31" s="1" t="s">
        <v>5</v>
      </c>
      <c r="Q31" s="1">
        <v>50.5</v>
      </c>
      <c r="R31" s="1" t="s">
        <v>5</v>
      </c>
      <c r="S31" s="1">
        <v>74.4</v>
      </c>
      <c r="T31" s="1" t="s">
        <v>5</v>
      </c>
      <c r="U31" s="1">
        <v>431.9</v>
      </c>
      <c r="V31" s="1" t="s">
        <v>5</v>
      </c>
      <c r="W31" s="3">
        <v>130</v>
      </c>
    </row>
    <row r="32" ht="15" customHeight="1" spans="1:23">
      <c r="A32" s="1" t="s">
        <v>210</v>
      </c>
      <c r="B32" s="1" t="s">
        <v>54</v>
      </c>
      <c r="C32" s="1">
        <v>87.5</v>
      </c>
      <c r="D32" s="1" t="s">
        <v>5</v>
      </c>
      <c r="E32" s="1">
        <v>84</v>
      </c>
      <c r="F32" s="1" t="s">
        <v>3</v>
      </c>
      <c r="G32" s="1">
        <v>46</v>
      </c>
      <c r="H32" s="1" t="s">
        <v>7</v>
      </c>
      <c r="I32" s="1">
        <v>57.5</v>
      </c>
      <c r="J32" s="1" t="s">
        <v>5</v>
      </c>
      <c r="K32" s="1">
        <v>40</v>
      </c>
      <c r="L32" s="1" t="s">
        <v>5</v>
      </c>
      <c r="M32" s="1">
        <v>19</v>
      </c>
      <c r="N32" s="1" t="s">
        <v>5</v>
      </c>
      <c r="O32" s="1">
        <v>36</v>
      </c>
      <c r="P32" s="1" t="s">
        <v>7</v>
      </c>
      <c r="Q32" s="1">
        <v>51</v>
      </c>
      <c r="R32" s="1" t="s">
        <v>5</v>
      </c>
      <c r="S32" s="1">
        <v>65</v>
      </c>
      <c r="T32" s="1" t="s">
        <v>7</v>
      </c>
      <c r="U32" s="1">
        <v>421</v>
      </c>
      <c r="V32" s="1" t="s">
        <v>5</v>
      </c>
      <c r="W32" s="3">
        <v>144</v>
      </c>
    </row>
    <row r="33" ht="15" customHeight="1" spans="1:23">
      <c r="A33" s="1" t="s">
        <v>215</v>
      </c>
      <c r="B33" s="1" t="s">
        <v>54</v>
      </c>
      <c r="C33" s="1">
        <v>81.5</v>
      </c>
      <c r="D33" s="1" t="s">
        <v>7</v>
      </c>
      <c r="E33" s="1">
        <v>78</v>
      </c>
      <c r="F33" s="1" t="s">
        <v>5</v>
      </c>
      <c r="G33" s="1">
        <v>55</v>
      </c>
      <c r="H33" s="1" t="s">
        <v>5</v>
      </c>
      <c r="I33" s="1">
        <v>46.5</v>
      </c>
      <c r="J33" s="1" t="s">
        <v>7</v>
      </c>
      <c r="K33" s="1">
        <v>38</v>
      </c>
      <c r="L33" s="1" t="s">
        <v>5</v>
      </c>
      <c r="M33" s="1">
        <v>17.6</v>
      </c>
      <c r="N33" s="1" t="s">
        <v>7</v>
      </c>
      <c r="O33" s="1">
        <v>47.5</v>
      </c>
      <c r="P33" s="1" t="s">
        <v>3</v>
      </c>
      <c r="Q33" s="1">
        <v>47</v>
      </c>
      <c r="R33" s="1" t="s">
        <v>5</v>
      </c>
      <c r="S33" s="1">
        <v>72.6</v>
      </c>
      <c r="T33" s="1" t="s">
        <v>5</v>
      </c>
      <c r="U33" s="1">
        <v>411.1</v>
      </c>
      <c r="V33" s="1" t="s">
        <v>5</v>
      </c>
      <c r="W33" s="3">
        <v>149</v>
      </c>
    </row>
    <row r="34" ht="15" customHeight="1" spans="1:23">
      <c r="A34" s="1" t="s">
        <v>220</v>
      </c>
      <c r="B34" s="1" t="s">
        <v>54</v>
      </c>
      <c r="C34" s="1">
        <v>92.5</v>
      </c>
      <c r="D34" s="1" t="s">
        <v>3</v>
      </c>
      <c r="E34" s="1">
        <v>80</v>
      </c>
      <c r="F34" s="1" t="s">
        <v>5</v>
      </c>
      <c r="G34" s="1">
        <v>38.5</v>
      </c>
      <c r="H34" s="1" t="s">
        <v>7</v>
      </c>
      <c r="I34" s="1">
        <v>52.5</v>
      </c>
      <c r="J34" s="1" t="s">
        <v>7</v>
      </c>
      <c r="K34" s="1">
        <v>41</v>
      </c>
      <c r="L34" s="1" t="s">
        <v>5</v>
      </c>
      <c r="M34" s="1">
        <v>16.2</v>
      </c>
      <c r="N34" s="1" t="s">
        <v>7</v>
      </c>
      <c r="O34" s="1">
        <v>32.5</v>
      </c>
      <c r="P34" s="1" t="s">
        <v>7</v>
      </c>
      <c r="Q34" s="1">
        <v>51.5</v>
      </c>
      <c r="R34" s="1" t="s">
        <v>5</v>
      </c>
      <c r="S34" s="1">
        <v>54.7</v>
      </c>
      <c r="T34" s="1" t="s">
        <v>7</v>
      </c>
      <c r="U34" s="1">
        <v>404.7</v>
      </c>
      <c r="V34" s="1" t="s">
        <v>5</v>
      </c>
      <c r="W34" s="3">
        <v>156</v>
      </c>
    </row>
    <row r="35" ht="15" customHeight="1" spans="1:23">
      <c r="A35" s="1" t="s">
        <v>225</v>
      </c>
      <c r="B35" s="1" t="s">
        <v>54</v>
      </c>
      <c r="C35" s="1">
        <v>80.5</v>
      </c>
      <c r="D35" s="1" t="s">
        <v>7</v>
      </c>
      <c r="E35" s="1">
        <v>82</v>
      </c>
      <c r="F35" s="1" t="s">
        <v>5</v>
      </c>
      <c r="G35" s="1">
        <v>52</v>
      </c>
      <c r="H35" s="1" t="s">
        <v>5</v>
      </c>
      <c r="I35" s="1">
        <v>43.5</v>
      </c>
      <c r="J35" s="1" t="s">
        <v>9</v>
      </c>
      <c r="K35" s="1">
        <v>38</v>
      </c>
      <c r="L35" s="1" t="s">
        <v>5</v>
      </c>
      <c r="M35" s="1">
        <v>22.4</v>
      </c>
      <c r="N35" s="1" t="s">
        <v>3</v>
      </c>
      <c r="O35" s="1">
        <v>37</v>
      </c>
      <c r="P35" s="1" t="s">
        <v>7</v>
      </c>
      <c r="Q35" s="1">
        <v>44.5</v>
      </c>
      <c r="R35" s="1" t="s">
        <v>7</v>
      </c>
      <c r="S35" s="1">
        <v>74.4</v>
      </c>
      <c r="T35" s="1" t="s">
        <v>5</v>
      </c>
      <c r="U35" s="1">
        <v>399.9</v>
      </c>
      <c r="V35" s="1" t="s">
        <v>7</v>
      </c>
      <c r="W35" s="3">
        <v>160</v>
      </c>
    </row>
    <row r="36" ht="15" customHeight="1" spans="1:23">
      <c r="A36" s="1" t="s">
        <v>230</v>
      </c>
      <c r="B36" s="1" t="s">
        <v>54</v>
      </c>
      <c r="C36" s="1">
        <v>88.5</v>
      </c>
      <c r="D36" s="1" t="s">
        <v>5</v>
      </c>
      <c r="E36" s="1">
        <v>81</v>
      </c>
      <c r="F36" s="1" t="s">
        <v>5</v>
      </c>
      <c r="G36" s="1">
        <v>18</v>
      </c>
      <c r="H36" s="1" t="s">
        <v>9</v>
      </c>
      <c r="I36" s="1">
        <v>58.5</v>
      </c>
      <c r="J36" s="1" t="s">
        <v>5</v>
      </c>
      <c r="K36" s="1">
        <v>37</v>
      </c>
      <c r="L36" s="1" t="s">
        <v>7</v>
      </c>
      <c r="M36" s="1">
        <v>12.9</v>
      </c>
      <c r="N36" s="1" t="s">
        <v>7</v>
      </c>
      <c r="O36" s="1">
        <v>46</v>
      </c>
      <c r="P36" s="1" t="s">
        <v>3</v>
      </c>
      <c r="Q36" s="1">
        <v>54</v>
      </c>
      <c r="R36" s="1" t="s">
        <v>5</v>
      </c>
      <c r="S36" s="1">
        <v>30.9</v>
      </c>
      <c r="T36" s="1" t="s">
        <v>9</v>
      </c>
      <c r="U36" s="1">
        <v>395.9</v>
      </c>
      <c r="V36" s="1" t="s">
        <v>7</v>
      </c>
      <c r="W36" s="3">
        <v>165</v>
      </c>
    </row>
    <row r="37" ht="15" customHeight="1" spans="1:23">
      <c r="A37" s="1" t="s">
        <v>235</v>
      </c>
      <c r="B37" s="1" t="s">
        <v>54</v>
      </c>
      <c r="C37" s="1">
        <v>86.5</v>
      </c>
      <c r="D37" s="1" t="s">
        <v>5</v>
      </c>
      <c r="E37" s="1">
        <v>78</v>
      </c>
      <c r="F37" s="1" t="s">
        <v>5</v>
      </c>
      <c r="G37" s="1">
        <v>61.5</v>
      </c>
      <c r="H37" s="1" t="s">
        <v>5</v>
      </c>
      <c r="I37" s="1">
        <v>39</v>
      </c>
      <c r="J37" s="1" t="s">
        <v>9</v>
      </c>
      <c r="K37" s="1">
        <v>39</v>
      </c>
      <c r="L37" s="1" t="s">
        <v>5</v>
      </c>
      <c r="M37" s="1">
        <v>21.4</v>
      </c>
      <c r="N37" s="1" t="s">
        <v>5</v>
      </c>
      <c r="O37" s="1">
        <v>38</v>
      </c>
      <c r="P37" s="1" t="s">
        <v>5</v>
      </c>
      <c r="Q37" s="1">
        <v>30.5</v>
      </c>
      <c r="R37" s="1" t="s">
        <v>7</v>
      </c>
      <c r="S37" s="1">
        <v>82.9</v>
      </c>
      <c r="T37" s="1" t="s">
        <v>5</v>
      </c>
      <c r="U37" s="1">
        <v>393.9</v>
      </c>
      <c r="V37" s="1" t="s">
        <v>7</v>
      </c>
      <c r="W37" s="3">
        <v>169</v>
      </c>
    </row>
    <row r="38" ht="15" customHeight="1" spans="1:23">
      <c r="A38" s="1" t="s">
        <v>240</v>
      </c>
      <c r="B38" s="1" t="s">
        <v>54</v>
      </c>
      <c r="C38" s="1">
        <v>89.5</v>
      </c>
      <c r="D38" s="1" t="s">
        <v>5</v>
      </c>
      <c r="E38" s="1">
        <v>72</v>
      </c>
      <c r="F38" s="1" t="s">
        <v>7</v>
      </c>
      <c r="G38" s="1">
        <v>43</v>
      </c>
      <c r="H38" s="1" t="s">
        <v>7</v>
      </c>
      <c r="I38" s="1">
        <v>44.5</v>
      </c>
      <c r="J38" s="1" t="s">
        <v>9</v>
      </c>
      <c r="K38" s="1">
        <v>42.5</v>
      </c>
      <c r="L38" s="1" t="s">
        <v>3</v>
      </c>
      <c r="M38" s="1">
        <v>19.8</v>
      </c>
      <c r="N38" s="1" t="s">
        <v>5</v>
      </c>
      <c r="O38" s="1">
        <v>32.5</v>
      </c>
      <c r="P38" s="1" t="s">
        <v>7</v>
      </c>
      <c r="Q38" s="1">
        <v>38.5</v>
      </c>
      <c r="R38" s="1" t="s">
        <v>7</v>
      </c>
      <c r="S38" s="1">
        <v>62.8</v>
      </c>
      <c r="T38" s="1" t="s">
        <v>7</v>
      </c>
      <c r="U38" s="1">
        <v>382.3</v>
      </c>
      <c r="V38" s="1" t="s">
        <v>7</v>
      </c>
      <c r="W38" s="3">
        <v>176</v>
      </c>
    </row>
    <row r="39" ht="15" customHeight="1" spans="1:23">
      <c r="A39" s="1" t="s">
        <v>245</v>
      </c>
      <c r="B39" s="1" t="s">
        <v>54</v>
      </c>
      <c r="C39" s="1">
        <v>83</v>
      </c>
      <c r="D39" s="1" t="s">
        <v>7</v>
      </c>
      <c r="E39" s="1">
        <v>66</v>
      </c>
      <c r="F39" s="1" t="s">
        <v>7</v>
      </c>
      <c r="G39" s="1">
        <v>50</v>
      </c>
      <c r="H39" s="1" t="s">
        <v>5</v>
      </c>
      <c r="I39" s="1">
        <v>54</v>
      </c>
      <c r="J39" s="1" t="s">
        <v>5</v>
      </c>
      <c r="K39" s="1">
        <v>36</v>
      </c>
      <c r="L39" s="1" t="s">
        <v>7</v>
      </c>
      <c r="M39" s="1">
        <v>18.6</v>
      </c>
      <c r="N39" s="1" t="s">
        <v>5</v>
      </c>
      <c r="O39" s="1">
        <v>26</v>
      </c>
      <c r="P39" s="1" t="s">
        <v>7</v>
      </c>
      <c r="Q39" s="1">
        <v>38.5</v>
      </c>
      <c r="R39" s="1" t="s">
        <v>7</v>
      </c>
      <c r="S39" s="1">
        <v>68.6</v>
      </c>
      <c r="T39" s="1" t="s">
        <v>5</v>
      </c>
      <c r="U39" s="1">
        <v>372.1</v>
      </c>
      <c r="V39" s="1" t="s">
        <v>7</v>
      </c>
      <c r="W39" s="3">
        <v>181</v>
      </c>
    </row>
    <row r="40" ht="15" customHeight="1" spans="1:23">
      <c r="A40" s="1" t="s">
        <v>250</v>
      </c>
      <c r="B40" s="1" t="s">
        <v>54</v>
      </c>
      <c r="C40" s="1">
        <v>83</v>
      </c>
      <c r="D40" s="1" t="s">
        <v>7</v>
      </c>
      <c r="E40" s="1">
        <v>72</v>
      </c>
      <c r="F40" s="1" t="s">
        <v>7</v>
      </c>
      <c r="G40" s="1">
        <v>42</v>
      </c>
      <c r="H40" s="1" t="s">
        <v>7</v>
      </c>
      <c r="I40" s="1">
        <v>50</v>
      </c>
      <c r="J40" s="1" t="s">
        <v>7</v>
      </c>
      <c r="K40" s="1">
        <v>39</v>
      </c>
      <c r="L40" s="1" t="s">
        <v>5</v>
      </c>
      <c r="M40" s="1">
        <v>20.3</v>
      </c>
      <c r="N40" s="1" t="s">
        <v>5</v>
      </c>
      <c r="O40" s="1">
        <v>27</v>
      </c>
      <c r="P40" s="1" t="s">
        <v>7</v>
      </c>
      <c r="Q40" s="1">
        <v>36.5</v>
      </c>
      <c r="R40" s="1" t="s">
        <v>7</v>
      </c>
      <c r="S40" s="1">
        <v>62.3</v>
      </c>
      <c r="T40" s="1" t="s">
        <v>7</v>
      </c>
      <c r="U40" s="1">
        <v>369.8</v>
      </c>
      <c r="V40" s="1" t="s">
        <v>7</v>
      </c>
      <c r="W40" s="3">
        <v>184</v>
      </c>
    </row>
    <row r="41" ht="15" customHeight="1" spans="1:23">
      <c r="A41" s="1" t="s">
        <v>255</v>
      </c>
      <c r="B41" s="1" t="s">
        <v>54</v>
      </c>
      <c r="C41" s="1">
        <v>83.5</v>
      </c>
      <c r="D41" s="1" t="s">
        <v>7</v>
      </c>
      <c r="E41" s="1">
        <v>75</v>
      </c>
      <c r="F41" s="1" t="s">
        <v>5</v>
      </c>
      <c r="G41" s="1">
        <v>26</v>
      </c>
      <c r="H41" s="1" t="s">
        <v>9</v>
      </c>
      <c r="I41" s="1">
        <v>44</v>
      </c>
      <c r="J41" s="1" t="s">
        <v>9</v>
      </c>
      <c r="K41" s="1">
        <v>36.5</v>
      </c>
      <c r="L41" s="1" t="s">
        <v>7</v>
      </c>
      <c r="M41" s="1">
        <v>15.2</v>
      </c>
      <c r="N41" s="1" t="s">
        <v>7</v>
      </c>
      <c r="O41" s="1">
        <v>32</v>
      </c>
      <c r="P41" s="1" t="s">
        <v>7</v>
      </c>
      <c r="Q41" s="1">
        <v>45.5</v>
      </c>
      <c r="R41" s="1" t="s">
        <v>7</v>
      </c>
      <c r="S41" s="1">
        <v>41.2</v>
      </c>
      <c r="T41" s="1" t="s">
        <v>7</v>
      </c>
      <c r="U41" s="1">
        <v>357.7</v>
      </c>
      <c r="V41" s="1" t="s">
        <v>7</v>
      </c>
      <c r="W41" s="3">
        <v>190</v>
      </c>
    </row>
    <row r="42" ht="15" customHeight="1" spans="1:23">
      <c r="A42" s="1" t="s">
        <v>260</v>
      </c>
      <c r="B42" s="1" t="s">
        <v>54</v>
      </c>
      <c r="C42" s="1">
        <v>83.5</v>
      </c>
      <c r="D42" s="1" t="s">
        <v>7</v>
      </c>
      <c r="E42" s="1">
        <v>76</v>
      </c>
      <c r="F42" s="1" t="s">
        <v>5</v>
      </c>
      <c r="G42" s="1">
        <v>29</v>
      </c>
      <c r="H42" s="1" t="s">
        <v>7</v>
      </c>
      <c r="I42" s="1">
        <v>48.5</v>
      </c>
      <c r="J42" s="1" t="s">
        <v>7</v>
      </c>
      <c r="K42" s="1">
        <v>40.5</v>
      </c>
      <c r="L42" s="1" t="s">
        <v>5</v>
      </c>
      <c r="M42" s="1">
        <v>15.7</v>
      </c>
      <c r="N42" s="1" t="s">
        <v>7</v>
      </c>
      <c r="O42" s="1">
        <v>25</v>
      </c>
      <c r="P42" s="1" t="s">
        <v>7</v>
      </c>
      <c r="Q42" s="1">
        <v>34.5</v>
      </c>
      <c r="R42" s="1" t="s">
        <v>7</v>
      </c>
      <c r="S42" s="1">
        <v>44.7</v>
      </c>
      <c r="T42" s="1" t="s">
        <v>7</v>
      </c>
      <c r="U42" s="1">
        <v>352.7</v>
      </c>
      <c r="V42" s="1" t="s">
        <v>7</v>
      </c>
      <c r="W42" s="3">
        <v>193</v>
      </c>
    </row>
    <row r="43" ht="15" customHeight="1" spans="1:23">
      <c r="A43" s="1" t="s">
        <v>265</v>
      </c>
      <c r="B43" s="1" t="s">
        <v>54</v>
      </c>
      <c r="C43" s="1">
        <v>78</v>
      </c>
      <c r="D43" s="1" t="s">
        <v>7</v>
      </c>
      <c r="E43" s="1">
        <v>78</v>
      </c>
      <c r="F43" s="1" t="s">
        <v>5</v>
      </c>
      <c r="G43" s="1">
        <v>34</v>
      </c>
      <c r="H43" s="1" t="s">
        <v>7</v>
      </c>
      <c r="I43" s="1">
        <v>45</v>
      </c>
      <c r="J43" s="1" t="s">
        <v>9</v>
      </c>
      <c r="K43" s="1">
        <v>31</v>
      </c>
      <c r="L43" s="1" t="s">
        <v>9</v>
      </c>
      <c r="M43" s="1">
        <v>18.4</v>
      </c>
      <c r="N43" s="1" t="s">
        <v>5</v>
      </c>
      <c r="O43" s="1">
        <v>23.5</v>
      </c>
      <c r="P43" s="1" t="s">
        <v>9</v>
      </c>
      <c r="Q43" s="1">
        <v>34</v>
      </c>
      <c r="R43" s="1" t="s">
        <v>7</v>
      </c>
      <c r="S43" s="1">
        <v>52.4</v>
      </c>
      <c r="T43" s="1" t="s">
        <v>7</v>
      </c>
      <c r="U43" s="1">
        <v>341.9</v>
      </c>
      <c r="V43" s="1" t="s">
        <v>7</v>
      </c>
      <c r="W43" s="3">
        <v>198</v>
      </c>
    </row>
    <row r="44" ht="15" customHeight="1" spans="1:23">
      <c r="A44" s="1" t="s">
        <v>270</v>
      </c>
      <c r="B44" s="1" t="s">
        <v>54</v>
      </c>
      <c r="C44" s="1">
        <v>83.5</v>
      </c>
      <c r="D44" s="1" t="s">
        <v>7</v>
      </c>
      <c r="E44" s="1">
        <v>65</v>
      </c>
      <c r="F44" s="1" t="s">
        <v>7</v>
      </c>
      <c r="G44" s="1">
        <v>20.5</v>
      </c>
      <c r="H44" s="1" t="s">
        <v>9</v>
      </c>
      <c r="I44" s="1">
        <v>51.5</v>
      </c>
      <c r="J44" s="1" t="s">
        <v>7</v>
      </c>
      <c r="K44" s="1">
        <v>37</v>
      </c>
      <c r="L44" s="1" t="s">
        <v>7</v>
      </c>
      <c r="M44" s="1">
        <v>10.3</v>
      </c>
      <c r="N44" s="1" t="s">
        <v>9</v>
      </c>
      <c r="O44" s="1">
        <v>32</v>
      </c>
      <c r="P44" s="1" t="s">
        <v>7</v>
      </c>
      <c r="Q44" s="1">
        <v>37</v>
      </c>
      <c r="R44" s="1" t="s">
        <v>7</v>
      </c>
      <c r="S44" s="1">
        <v>30.8</v>
      </c>
      <c r="T44" s="1" t="s">
        <v>9</v>
      </c>
      <c r="U44" s="1">
        <v>336.8</v>
      </c>
      <c r="V44" s="1" t="s">
        <v>7</v>
      </c>
      <c r="W44" s="3">
        <v>202</v>
      </c>
    </row>
    <row r="45" ht="15" customHeight="1" spans="1:23">
      <c r="A45" s="1" t="s">
        <v>275</v>
      </c>
      <c r="B45" s="1" t="s">
        <v>54</v>
      </c>
      <c r="C45" s="1">
        <v>71.5</v>
      </c>
      <c r="D45" s="1" t="s">
        <v>9</v>
      </c>
      <c r="E45" s="1">
        <v>54</v>
      </c>
      <c r="F45" s="1" t="s">
        <v>7</v>
      </c>
      <c r="G45" s="1">
        <v>42</v>
      </c>
      <c r="H45" s="1" t="s">
        <v>7</v>
      </c>
      <c r="I45" s="1">
        <v>39</v>
      </c>
      <c r="J45" s="1" t="s">
        <v>9</v>
      </c>
      <c r="K45" s="1">
        <v>35</v>
      </c>
      <c r="L45" s="1" t="s">
        <v>7</v>
      </c>
      <c r="M45" s="1">
        <v>16.1</v>
      </c>
      <c r="N45" s="1" t="s">
        <v>7</v>
      </c>
      <c r="O45" s="1">
        <v>12.5</v>
      </c>
      <c r="P45" s="1" t="s">
        <v>9</v>
      </c>
      <c r="Q45" s="1">
        <v>32.5</v>
      </c>
      <c r="R45" s="1" t="s">
        <v>7</v>
      </c>
      <c r="S45" s="1">
        <v>58.1</v>
      </c>
      <c r="T45" s="1" t="s">
        <v>7</v>
      </c>
      <c r="U45" s="1">
        <v>302.6</v>
      </c>
      <c r="V45" s="1" t="s">
        <v>9</v>
      </c>
      <c r="W45" s="3">
        <v>209</v>
      </c>
    </row>
    <row r="46" ht="15" customHeight="1" spans="1:23">
      <c r="A46" s="1" t="s">
        <v>280</v>
      </c>
      <c r="B46" s="1" t="s">
        <v>54</v>
      </c>
      <c r="C46" s="1">
        <v>68.5</v>
      </c>
      <c r="D46" s="1" t="s">
        <v>9</v>
      </c>
      <c r="E46" s="1">
        <v>32</v>
      </c>
      <c r="F46" s="1" t="s">
        <v>9</v>
      </c>
      <c r="G46" s="1">
        <v>30.5</v>
      </c>
      <c r="H46" s="1" t="s">
        <v>7</v>
      </c>
      <c r="I46" s="1">
        <v>38</v>
      </c>
      <c r="J46" s="1" t="s">
        <v>9</v>
      </c>
      <c r="K46" s="1">
        <v>28</v>
      </c>
      <c r="L46" s="1" t="s">
        <v>9</v>
      </c>
      <c r="M46" s="1">
        <v>14.9</v>
      </c>
      <c r="N46" s="1" t="s">
        <v>7</v>
      </c>
      <c r="O46" s="1">
        <v>16</v>
      </c>
      <c r="P46" s="1" t="s">
        <v>9</v>
      </c>
      <c r="Q46" s="1">
        <v>19</v>
      </c>
      <c r="R46" s="1" t="s">
        <v>9</v>
      </c>
      <c r="S46" s="1">
        <v>45.4</v>
      </c>
      <c r="T46" s="1" t="s">
        <v>7</v>
      </c>
      <c r="U46" s="1">
        <v>246.9</v>
      </c>
      <c r="V46" s="1" t="s">
        <v>9</v>
      </c>
      <c r="W46" s="3">
        <v>217</v>
      </c>
    </row>
    <row r="47" ht="15" customHeight="1" spans="1:23">
      <c r="A47" s="1" t="s">
        <v>282</v>
      </c>
      <c r="B47" s="1" t="s">
        <v>54</v>
      </c>
      <c r="C47" s="1">
        <v>64.5</v>
      </c>
      <c r="D47" s="1" t="s">
        <v>9</v>
      </c>
      <c r="E47" s="1">
        <v>34</v>
      </c>
      <c r="F47" s="1" t="s">
        <v>9</v>
      </c>
      <c r="G47" s="1">
        <v>21.5</v>
      </c>
      <c r="H47" s="1" t="s">
        <v>9</v>
      </c>
      <c r="I47" s="1">
        <v>44</v>
      </c>
      <c r="J47" s="1" t="s">
        <v>9</v>
      </c>
      <c r="K47" s="1">
        <v>23.5</v>
      </c>
      <c r="L47" s="1" t="s">
        <v>9</v>
      </c>
      <c r="M47" s="1">
        <v>8.3</v>
      </c>
      <c r="N47" s="1" t="s">
        <v>9</v>
      </c>
      <c r="O47" s="1">
        <v>17</v>
      </c>
      <c r="P47" s="1" t="s">
        <v>9</v>
      </c>
      <c r="Q47" s="1">
        <v>25</v>
      </c>
      <c r="R47" s="1" t="s">
        <v>9</v>
      </c>
      <c r="S47" s="1">
        <v>29.8</v>
      </c>
      <c r="T47" s="1" t="s">
        <v>9</v>
      </c>
      <c r="U47" s="1">
        <v>237.8</v>
      </c>
      <c r="V47" s="1" t="s">
        <v>9</v>
      </c>
      <c r="W47" s="3">
        <v>219</v>
      </c>
    </row>
    <row r="48" ht="15" customHeight="1" spans="1:23">
      <c r="A48" s="1" t="s">
        <v>284</v>
      </c>
      <c r="B48" s="1" t="s">
        <v>54</v>
      </c>
      <c r="C48" s="1">
        <v>63</v>
      </c>
      <c r="D48" s="1" t="s">
        <v>9</v>
      </c>
      <c r="E48" s="1">
        <v>22</v>
      </c>
      <c r="F48" s="1" t="s">
        <v>9</v>
      </c>
      <c r="G48" s="1">
        <v>30.5</v>
      </c>
      <c r="H48" s="1" t="s">
        <v>7</v>
      </c>
      <c r="I48" s="1">
        <v>33</v>
      </c>
      <c r="J48" s="1" t="s">
        <v>9</v>
      </c>
      <c r="K48" s="1">
        <v>29.5</v>
      </c>
      <c r="L48" s="1" t="s">
        <v>9</v>
      </c>
      <c r="M48" s="1">
        <v>17.6</v>
      </c>
      <c r="N48" s="1" t="s">
        <v>7</v>
      </c>
      <c r="O48" s="1">
        <v>12</v>
      </c>
      <c r="P48" s="1" t="s">
        <v>9</v>
      </c>
      <c r="Q48" s="1">
        <v>20.5</v>
      </c>
      <c r="R48" s="1" t="s">
        <v>9</v>
      </c>
      <c r="S48" s="1">
        <v>48.1</v>
      </c>
      <c r="T48" s="1" t="s">
        <v>7</v>
      </c>
      <c r="U48" s="1">
        <v>228.1</v>
      </c>
      <c r="V48" s="1" t="s">
        <v>9</v>
      </c>
      <c r="W48" s="3">
        <v>222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7"/>
  <sheetViews>
    <sheetView showGridLines="0" workbookViewId="0">
      <selection activeCell="A1" sqref="A1"/>
    </sheetView>
  </sheetViews>
  <sheetFormatPr defaultColWidth="9" defaultRowHeight="13.5"/>
  <sheetData>
    <row r="1" ht="15" customHeight="1" spans="1:22">
      <c r="A1" s="1" t="s">
        <v>288</v>
      </c>
      <c r="B1" s="1" t="s">
        <v>289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313</v>
      </c>
    </row>
    <row r="2" ht="15" customHeight="1" spans="1:22">
      <c r="A2" s="1" t="s">
        <v>60</v>
      </c>
      <c r="B2" s="1" t="s">
        <v>55</v>
      </c>
      <c r="C2" s="1">
        <v>106</v>
      </c>
      <c r="D2" s="1" t="s">
        <v>2</v>
      </c>
      <c r="E2" s="1">
        <v>96</v>
      </c>
      <c r="F2" s="1" t="s">
        <v>2</v>
      </c>
      <c r="G2" s="1">
        <v>73.5</v>
      </c>
      <c r="H2" s="1" t="s">
        <v>2</v>
      </c>
      <c r="I2" s="1">
        <v>66.5</v>
      </c>
      <c r="J2" s="1" t="s">
        <v>2</v>
      </c>
      <c r="K2" s="1">
        <v>40</v>
      </c>
      <c r="L2" s="1" t="s">
        <v>5</v>
      </c>
      <c r="M2" s="1">
        <v>23.5</v>
      </c>
      <c r="N2" s="1" t="s">
        <v>3</v>
      </c>
      <c r="O2" s="1">
        <v>46</v>
      </c>
      <c r="P2" s="1" t="s">
        <v>3</v>
      </c>
      <c r="Q2" s="1">
        <v>63</v>
      </c>
      <c r="R2" s="1" t="s">
        <v>3</v>
      </c>
      <c r="S2" s="1">
        <v>97</v>
      </c>
      <c r="T2" s="1" t="s">
        <v>2</v>
      </c>
      <c r="U2" s="1">
        <v>514.5</v>
      </c>
      <c r="V2" s="1" t="s">
        <v>2</v>
      </c>
    </row>
    <row r="3" ht="15" customHeight="1" spans="1:22">
      <c r="A3" s="1" t="s">
        <v>65</v>
      </c>
      <c r="B3" s="1" t="s">
        <v>55</v>
      </c>
      <c r="C3" s="1">
        <v>103</v>
      </c>
      <c r="D3" s="1" t="s">
        <v>2</v>
      </c>
      <c r="E3" s="1">
        <v>91</v>
      </c>
      <c r="F3" s="1" t="s">
        <v>2</v>
      </c>
      <c r="G3" s="1">
        <v>74.5</v>
      </c>
      <c r="H3" s="1" t="s">
        <v>2</v>
      </c>
      <c r="I3" s="1">
        <v>62.5</v>
      </c>
      <c r="J3" s="1" t="s">
        <v>3</v>
      </c>
      <c r="K3" s="1">
        <v>48.5</v>
      </c>
      <c r="L3" s="1" t="s">
        <v>2</v>
      </c>
      <c r="M3" s="1">
        <v>23.2</v>
      </c>
      <c r="N3" s="1" t="s">
        <v>3</v>
      </c>
      <c r="O3" s="1">
        <v>48</v>
      </c>
      <c r="P3" s="1" t="s">
        <v>2</v>
      </c>
      <c r="Q3" s="1">
        <v>61.5</v>
      </c>
      <c r="R3" s="1" t="s">
        <v>3</v>
      </c>
      <c r="S3" s="1">
        <v>97.7</v>
      </c>
      <c r="T3" s="1" t="s">
        <v>2</v>
      </c>
      <c r="U3" s="1">
        <v>512.2</v>
      </c>
      <c r="V3" s="1" t="s">
        <v>2</v>
      </c>
    </row>
    <row r="4" ht="15" customHeight="1" spans="1:22">
      <c r="A4" s="1" t="s">
        <v>70</v>
      </c>
      <c r="B4" s="1" t="s">
        <v>55</v>
      </c>
      <c r="C4" s="1">
        <v>98</v>
      </c>
      <c r="D4" s="1" t="s">
        <v>3</v>
      </c>
      <c r="E4" s="1">
        <v>94</v>
      </c>
      <c r="F4" s="1" t="s">
        <v>2</v>
      </c>
      <c r="G4" s="1">
        <v>73</v>
      </c>
      <c r="H4" s="1" t="s">
        <v>2</v>
      </c>
      <c r="I4" s="1">
        <v>67</v>
      </c>
      <c r="J4" s="1" t="s">
        <v>2</v>
      </c>
      <c r="K4" s="1">
        <v>46</v>
      </c>
      <c r="L4" s="1" t="s">
        <v>2</v>
      </c>
      <c r="M4" s="1">
        <v>24.5</v>
      </c>
      <c r="N4" s="1" t="s">
        <v>2</v>
      </c>
      <c r="O4" s="1">
        <v>48</v>
      </c>
      <c r="P4" s="1" t="s">
        <v>2</v>
      </c>
      <c r="Q4" s="1">
        <v>61</v>
      </c>
      <c r="R4" s="1" t="s">
        <v>3</v>
      </c>
      <c r="S4" s="1">
        <v>97.5</v>
      </c>
      <c r="T4" s="1" t="s">
        <v>2</v>
      </c>
      <c r="U4" s="1">
        <v>511.5</v>
      </c>
      <c r="V4" s="1" t="s">
        <v>2</v>
      </c>
    </row>
    <row r="5" ht="15" customHeight="1" spans="1:22">
      <c r="A5" s="1" t="s">
        <v>75</v>
      </c>
      <c r="B5" s="1" t="s">
        <v>55</v>
      </c>
      <c r="C5" s="1">
        <v>101.5</v>
      </c>
      <c r="D5" s="1" t="s">
        <v>2</v>
      </c>
      <c r="E5" s="1">
        <v>90</v>
      </c>
      <c r="F5" s="1" t="s">
        <v>3</v>
      </c>
      <c r="G5" s="1">
        <v>71</v>
      </c>
      <c r="H5" s="1" t="s">
        <v>2</v>
      </c>
      <c r="I5" s="1">
        <v>63.5</v>
      </c>
      <c r="J5" s="1" t="s">
        <v>3</v>
      </c>
      <c r="K5" s="1">
        <v>45.5</v>
      </c>
      <c r="L5" s="1" t="s">
        <v>2</v>
      </c>
      <c r="M5" s="1">
        <v>24.3</v>
      </c>
      <c r="N5" s="1" t="s">
        <v>2</v>
      </c>
      <c r="O5" s="1">
        <v>47</v>
      </c>
      <c r="P5" s="1" t="s">
        <v>3</v>
      </c>
      <c r="Q5" s="1">
        <v>63.5</v>
      </c>
      <c r="R5" s="1" t="s">
        <v>3</v>
      </c>
      <c r="S5" s="1">
        <v>95.3</v>
      </c>
      <c r="T5" s="1" t="s">
        <v>2</v>
      </c>
      <c r="U5" s="1">
        <v>506.3</v>
      </c>
      <c r="V5" s="1" t="s">
        <v>2</v>
      </c>
    </row>
    <row r="6" ht="15" customHeight="1" spans="1:22">
      <c r="A6" s="1" t="s">
        <v>80</v>
      </c>
      <c r="B6" s="1" t="s">
        <v>55</v>
      </c>
      <c r="C6" s="1">
        <v>98</v>
      </c>
      <c r="D6" s="1" t="s">
        <v>3</v>
      </c>
      <c r="E6" s="1">
        <v>92</v>
      </c>
      <c r="F6" s="1" t="s">
        <v>2</v>
      </c>
      <c r="G6" s="1">
        <v>71</v>
      </c>
      <c r="H6" s="1" t="s">
        <v>2</v>
      </c>
      <c r="I6" s="1">
        <v>66.5</v>
      </c>
      <c r="J6" s="1" t="s">
        <v>2</v>
      </c>
      <c r="K6" s="1">
        <v>40.5</v>
      </c>
      <c r="L6" s="1" t="s">
        <v>5</v>
      </c>
      <c r="M6" s="1">
        <v>23.4</v>
      </c>
      <c r="N6" s="1" t="s">
        <v>3</v>
      </c>
      <c r="O6" s="1">
        <v>45</v>
      </c>
      <c r="P6" s="1" t="s">
        <v>3</v>
      </c>
      <c r="Q6" s="1">
        <v>59</v>
      </c>
      <c r="R6" s="1" t="s">
        <v>3</v>
      </c>
      <c r="S6" s="1">
        <v>94.4</v>
      </c>
      <c r="T6" s="1" t="s">
        <v>3</v>
      </c>
      <c r="U6" s="1">
        <v>495.4</v>
      </c>
      <c r="V6" s="1" t="s">
        <v>3</v>
      </c>
    </row>
    <row r="7" ht="15" customHeight="1" spans="1:22">
      <c r="A7" s="1" t="s">
        <v>86</v>
      </c>
      <c r="B7" s="1" t="s">
        <v>55</v>
      </c>
      <c r="C7" s="1">
        <v>96</v>
      </c>
      <c r="D7" s="1" t="s">
        <v>3</v>
      </c>
      <c r="E7" s="1">
        <v>90</v>
      </c>
      <c r="F7" s="1" t="s">
        <v>3</v>
      </c>
      <c r="G7" s="1">
        <v>74</v>
      </c>
      <c r="H7" s="1" t="s">
        <v>2</v>
      </c>
      <c r="I7" s="1">
        <v>64.5</v>
      </c>
      <c r="J7" s="1" t="s">
        <v>3</v>
      </c>
      <c r="K7" s="1">
        <v>42.5</v>
      </c>
      <c r="L7" s="1" t="s">
        <v>3</v>
      </c>
      <c r="M7" s="1">
        <v>23.2</v>
      </c>
      <c r="N7" s="1" t="s">
        <v>3</v>
      </c>
      <c r="O7" s="1">
        <v>46</v>
      </c>
      <c r="P7" s="1" t="s">
        <v>3</v>
      </c>
      <c r="Q7" s="1">
        <v>58.5</v>
      </c>
      <c r="R7" s="1" t="s">
        <v>3</v>
      </c>
      <c r="S7" s="1">
        <v>97.2</v>
      </c>
      <c r="T7" s="1" t="s">
        <v>2</v>
      </c>
      <c r="U7" s="1">
        <v>494.7</v>
      </c>
      <c r="V7" s="1" t="s">
        <v>3</v>
      </c>
    </row>
    <row r="8" ht="15" customHeight="1" spans="1:22">
      <c r="A8" s="1" t="s">
        <v>91</v>
      </c>
      <c r="B8" s="1" t="s">
        <v>55</v>
      </c>
      <c r="C8" s="1">
        <v>101</v>
      </c>
      <c r="D8" s="1" t="s">
        <v>2</v>
      </c>
      <c r="E8" s="1">
        <v>85</v>
      </c>
      <c r="F8" s="1" t="s">
        <v>3</v>
      </c>
      <c r="G8" s="1">
        <v>71</v>
      </c>
      <c r="H8" s="1" t="s">
        <v>2</v>
      </c>
      <c r="I8" s="1">
        <v>66</v>
      </c>
      <c r="J8" s="1" t="s">
        <v>2</v>
      </c>
      <c r="K8" s="1">
        <v>43</v>
      </c>
      <c r="L8" s="1" t="s">
        <v>3</v>
      </c>
      <c r="M8" s="1">
        <v>24.3</v>
      </c>
      <c r="N8" s="1" t="s">
        <v>2</v>
      </c>
      <c r="O8" s="1">
        <v>45</v>
      </c>
      <c r="P8" s="1" t="s">
        <v>3</v>
      </c>
      <c r="Q8" s="1">
        <v>55.5</v>
      </c>
      <c r="R8" s="1" t="s">
        <v>5</v>
      </c>
      <c r="S8" s="1">
        <v>95.3</v>
      </c>
      <c r="T8" s="1" t="s">
        <v>2</v>
      </c>
      <c r="U8" s="1">
        <v>490.8</v>
      </c>
      <c r="V8" s="1" t="s">
        <v>3</v>
      </c>
    </row>
    <row r="9" ht="15" customHeight="1" spans="1:22">
      <c r="A9" s="1" t="s">
        <v>96</v>
      </c>
      <c r="B9" s="1" t="s">
        <v>55</v>
      </c>
      <c r="C9" s="1">
        <v>95.5</v>
      </c>
      <c r="D9" s="1" t="s">
        <v>3</v>
      </c>
      <c r="E9" s="1">
        <v>89</v>
      </c>
      <c r="F9" s="1" t="s">
        <v>3</v>
      </c>
      <c r="G9" s="1">
        <v>72</v>
      </c>
      <c r="H9" s="1" t="s">
        <v>2</v>
      </c>
      <c r="I9" s="1">
        <v>60</v>
      </c>
      <c r="J9" s="1" t="s">
        <v>3</v>
      </c>
      <c r="K9" s="1">
        <v>42</v>
      </c>
      <c r="L9" s="1" t="s">
        <v>3</v>
      </c>
      <c r="M9" s="1">
        <v>24.3</v>
      </c>
      <c r="N9" s="1" t="s">
        <v>2</v>
      </c>
      <c r="O9" s="1">
        <v>46</v>
      </c>
      <c r="P9" s="1" t="s">
        <v>3</v>
      </c>
      <c r="Q9" s="1">
        <v>60</v>
      </c>
      <c r="R9" s="1" t="s">
        <v>3</v>
      </c>
      <c r="S9" s="1">
        <v>96.3</v>
      </c>
      <c r="T9" s="1" t="s">
        <v>2</v>
      </c>
      <c r="U9" s="1">
        <v>488.8</v>
      </c>
      <c r="V9" s="1" t="s">
        <v>3</v>
      </c>
    </row>
    <row r="10" ht="15" customHeight="1" spans="1:22">
      <c r="A10" s="1" t="s">
        <v>101</v>
      </c>
      <c r="B10" s="1" t="s">
        <v>55</v>
      </c>
      <c r="C10" s="1">
        <v>95</v>
      </c>
      <c r="D10" s="1" t="s">
        <v>3</v>
      </c>
      <c r="E10" s="1">
        <v>90</v>
      </c>
      <c r="F10" s="1" t="s">
        <v>3</v>
      </c>
      <c r="G10" s="1">
        <v>69.5</v>
      </c>
      <c r="H10" s="1" t="s">
        <v>3</v>
      </c>
      <c r="I10" s="1">
        <v>60</v>
      </c>
      <c r="J10" s="1" t="s">
        <v>3</v>
      </c>
      <c r="K10" s="1">
        <v>40.5</v>
      </c>
      <c r="L10" s="1" t="s">
        <v>5</v>
      </c>
      <c r="M10" s="1">
        <v>22.7</v>
      </c>
      <c r="N10" s="1" t="s">
        <v>3</v>
      </c>
      <c r="O10" s="1">
        <v>45.5</v>
      </c>
      <c r="P10" s="1" t="s">
        <v>3</v>
      </c>
      <c r="Q10" s="1">
        <v>59.5</v>
      </c>
      <c r="R10" s="1" t="s">
        <v>3</v>
      </c>
      <c r="S10" s="1">
        <v>92.2</v>
      </c>
      <c r="T10" s="1" t="s">
        <v>3</v>
      </c>
      <c r="U10" s="1">
        <v>482.7</v>
      </c>
      <c r="V10" s="1" t="s">
        <v>3</v>
      </c>
    </row>
    <row r="11" ht="15" customHeight="1" spans="1:22">
      <c r="A11" s="1" t="s">
        <v>106</v>
      </c>
      <c r="B11" s="1" t="s">
        <v>55</v>
      </c>
      <c r="C11" s="1">
        <v>92</v>
      </c>
      <c r="D11" s="1" t="s">
        <v>5</v>
      </c>
      <c r="E11" s="1">
        <v>87</v>
      </c>
      <c r="F11" s="1" t="s">
        <v>3</v>
      </c>
      <c r="G11" s="1">
        <v>71.5</v>
      </c>
      <c r="H11" s="1" t="s">
        <v>2</v>
      </c>
      <c r="I11" s="1">
        <v>64</v>
      </c>
      <c r="J11" s="1" t="s">
        <v>3</v>
      </c>
      <c r="K11" s="1">
        <v>38</v>
      </c>
      <c r="L11" s="1" t="s">
        <v>5</v>
      </c>
      <c r="M11" s="1">
        <v>21</v>
      </c>
      <c r="N11" s="1" t="s">
        <v>5</v>
      </c>
      <c r="O11" s="1">
        <v>46.5</v>
      </c>
      <c r="P11" s="1" t="s">
        <v>3</v>
      </c>
      <c r="Q11" s="1">
        <v>62.5</v>
      </c>
      <c r="R11" s="1" t="s">
        <v>3</v>
      </c>
      <c r="S11" s="1">
        <v>92.5</v>
      </c>
      <c r="T11" s="1" t="s">
        <v>3</v>
      </c>
      <c r="U11" s="1">
        <v>482.5</v>
      </c>
      <c r="V11" s="1" t="s">
        <v>3</v>
      </c>
    </row>
    <row r="12" ht="15" customHeight="1" spans="1:22">
      <c r="A12" s="1" t="s">
        <v>111</v>
      </c>
      <c r="B12" s="1" t="s">
        <v>55</v>
      </c>
      <c r="C12" s="1">
        <v>96</v>
      </c>
      <c r="D12" s="1" t="s">
        <v>3</v>
      </c>
      <c r="E12" s="1">
        <v>92</v>
      </c>
      <c r="F12" s="1" t="s">
        <v>2</v>
      </c>
      <c r="G12" s="1">
        <v>66</v>
      </c>
      <c r="H12" s="1" t="s">
        <v>3</v>
      </c>
      <c r="I12" s="1">
        <v>63</v>
      </c>
      <c r="J12" s="1" t="s">
        <v>3</v>
      </c>
      <c r="K12" s="1">
        <v>44.5</v>
      </c>
      <c r="L12" s="1" t="s">
        <v>3</v>
      </c>
      <c r="M12" s="1">
        <v>19</v>
      </c>
      <c r="N12" s="1" t="s">
        <v>5</v>
      </c>
      <c r="O12" s="1">
        <v>41.5</v>
      </c>
      <c r="P12" s="1" t="s">
        <v>5</v>
      </c>
      <c r="Q12" s="1">
        <v>57.5</v>
      </c>
      <c r="R12" s="1" t="s">
        <v>3</v>
      </c>
      <c r="S12" s="1">
        <v>85</v>
      </c>
      <c r="T12" s="1" t="s">
        <v>5</v>
      </c>
      <c r="U12" s="1">
        <v>479.5</v>
      </c>
      <c r="V12" s="1" t="s">
        <v>3</v>
      </c>
    </row>
    <row r="13" ht="15" customHeight="1" spans="1:22">
      <c r="A13" s="1" t="s">
        <v>116</v>
      </c>
      <c r="B13" s="1" t="s">
        <v>55</v>
      </c>
      <c r="C13" s="1">
        <v>92.5</v>
      </c>
      <c r="D13" s="1" t="s">
        <v>3</v>
      </c>
      <c r="E13" s="1">
        <v>85</v>
      </c>
      <c r="F13" s="1" t="s">
        <v>3</v>
      </c>
      <c r="G13" s="1">
        <v>72</v>
      </c>
      <c r="H13" s="1" t="s">
        <v>2</v>
      </c>
      <c r="I13" s="1">
        <v>57.5</v>
      </c>
      <c r="J13" s="1" t="s">
        <v>5</v>
      </c>
      <c r="K13" s="1">
        <v>41.5</v>
      </c>
      <c r="L13" s="1" t="s">
        <v>3</v>
      </c>
      <c r="M13" s="1">
        <v>23.9</v>
      </c>
      <c r="N13" s="1" t="s">
        <v>2</v>
      </c>
      <c r="O13" s="1">
        <v>48.5</v>
      </c>
      <c r="P13" s="1" t="s">
        <v>2</v>
      </c>
      <c r="Q13" s="1">
        <v>58.5</v>
      </c>
      <c r="R13" s="1" t="s">
        <v>3</v>
      </c>
      <c r="S13" s="1">
        <v>95.9</v>
      </c>
      <c r="T13" s="1" t="s">
        <v>2</v>
      </c>
      <c r="U13" s="1">
        <v>479.4</v>
      </c>
      <c r="V13" s="1" t="s">
        <v>3</v>
      </c>
    </row>
    <row r="14" ht="15" customHeight="1" spans="1:22">
      <c r="A14" s="1" t="s">
        <v>121</v>
      </c>
      <c r="B14" s="1" t="s">
        <v>55</v>
      </c>
      <c r="C14" s="1">
        <v>98</v>
      </c>
      <c r="D14" s="1" t="s">
        <v>3</v>
      </c>
      <c r="E14" s="1">
        <v>73</v>
      </c>
      <c r="F14" s="1" t="s">
        <v>7</v>
      </c>
      <c r="G14" s="1">
        <v>71</v>
      </c>
      <c r="H14" s="1" t="s">
        <v>2</v>
      </c>
      <c r="I14" s="1">
        <v>64.5</v>
      </c>
      <c r="J14" s="1" t="s">
        <v>3</v>
      </c>
      <c r="K14" s="1">
        <v>41</v>
      </c>
      <c r="L14" s="1" t="s">
        <v>5</v>
      </c>
      <c r="M14" s="1">
        <v>23.8</v>
      </c>
      <c r="N14" s="1" t="s">
        <v>3</v>
      </c>
      <c r="O14" s="1">
        <v>49</v>
      </c>
      <c r="P14" s="1" t="s">
        <v>2</v>
      </c>
      <c r="Q14" s="1">
        <v>54.5</v>
      </c>
      <c r="R14" s="1" t="s">
        <v>5</v>
      </c>
      <c r="S14" s="1">
        <v>94.8</v>
      </c>
      <c r="T14" s="1" t="s">
        <v>2</v>
      </c>
      <c r="U14" s="1">
        <v>474.8</v>
      </c>
      <c r="V14" s="1" t="s">
        <v>3</v>
      </c>
    </row>
    <row r="15" ht="15" customHeight="1" spans="1:22">
      <c r="A15" s="1" t="s">
        <v>126</v>
      </c>
      <c r="B15" s="1" t="s">
        <v>55</v>
      </c>
      <c r="C15" s="1">
        <v>101</v>
      </c>
      <c r="D15" s="1" t="s">
        <v>2</v>
      </c>
      <c r="E15" s="1">
        <v>79</v>
      </c>
      <c r="F15" s="1" t="s">
        <v>5</v>
      </c>
      <c r="G15" s="1">
        <v>71</v>
      </c>
      <c r="H15" s="1" t="s">
        <v>2</v>
      </c>
      <c r="I15" s="1">
        <v>64</v>
      </c>
      <c r="J15" s="1" t="s">
        <v>3</v>
      </c>
      <c r="K15" s="1">
        <v>38</v>
      </c>
      <c r="L15" s="1" t="s">
        <v>5</v>
      </c>
      <c r="M15" s="1">
        <v>23.1</v>
      </c>
      <c r="N15" s="1" t="s">
        <v>3</v>
      </c>
      <c r="O15" s="1">
        <v>40.5</v>
      </c>
      <c r="P15" s="1" t="s">
        <v>5</v>
      </c>
      <c r="Q15" s="1">
        <v>48</v>
      </c>
      <c r="R15" s="1" t="s">
        <v>5</v>
      </c>
      <c r="S15" s="1">
        <v>94.1</v>
      </c>
      <c r="T15" s="1" t="s">
        <v>3</v>
      </c>
      <c r="U15" s="1">
        <v>464.6</v>
      </c>
      <c r="V15" s="1" t="s">
        <v>3</v>
      </c>
    </row>
    <row r="16" ht="15" customHeight="1" spans="1:22">
      <c r="A16" s="1" t="s">
        <v>131</v>
      </c>
      <c r="B16" s="1" t="s">
        <v>55</v>
      </c>
      <c r="C16" s="1">
        <v>96</v>
      </c>
      <c r="D16" s="1" t="s">
        <v>3</v>
      </c>
      <c r="E16" s="1">
        <v>78</v>
      </c>
      <c r="F16" s="1" t="s">
        <v>5</v>
      </c>
      <c r="G16" s="1">
        <v>69.5</v>
      </c>
      <c r="H16" s="1" t="s">
        <v>3</v>
      </c>
      <c r="I16" s="1">
        <v>62.5</v>
      </c>
      <c r="J16" s="1" t="s">
        <v>3</v>
      </c>
      <c r="K16" s="1">
        <v>45.5</v>
      </c>
      <c r="L16" s="1" t="s">
        <v>2</v>
      </c>
      <c r="M16" s="1">
        <v>23.2</v>
      </c>
      <c r="N16" s="1" t="s">
        <v>3</v>
      </c>
      <c r="O16" s="1">
        <v>42</v>
      </c>
      <c r="P16" s="1" t="s">
        <v>5</v>
      </c>
      <c r="Q16" s="1">
        <v>47.5</v>
      </c>
      <c r="R16" s="1" t="s">
        <v>5</v>
      </c>
      <c r="S16" s="1">
        <v>92.7</v>
      </c>
      <c r="T16" s="1" t="s">
        <v>3</v>
      </c>
      <c r="U16" s="1">
        <v>464.2</v>
      </c>
      <c r="V16" s="1" t="s">
        <v>3</v>
      </c>
    </row>
    <row r="17" ht="15" customHeight="1" spans="1:22">
      <c r="A17" s="1" t="s">
        <v>136</v>
      </c>
      <c r="B17" s="1" t="s">
        <v>55</v>
      </c>
      <c r="C17" s="1">
        <v>95.5</v>
      </c>
      <c r="D17" s="1" t="s">
        <v>3</v>
      </c>
      <c r="E17" s="1">
        <v>80</v>
      </c>
      <c r="F17" s="1" t="s">
        <v>5</v>
      </c>
      <c r="G17" s="1">
        <v>71</v>
      </c>
      <c r="H17" s="1" t="s">
        <v>2</v>
      </c>
      <c r="I17" s="1">
        <v>64</v>
      </c>
      <c r="J17" s="1" t="s">
        <v>3</v>
      </c>
      <c r="K17" s="1">
        <v>42</v>
      </c>
      <c r="L17" s="1" t="s">
        <v>3</v>
      </c>
      <c r="M17" s="1">
        <v>20.5</v>
      </c>
      <c r="N17" s="1" t="s">
        <v>5</v>
      </c>
      <c r="O17" s="1">
        <v>37</v>
      </c>
      <c r="P17" s="1" t="s">
        <v>7</v>
      </c>
      <c r="Q17" s="1">
        <v>51.5</v>
      </c>
      <c r="R17" s="1" t="s">
        <v>5</v>
      </c>
      <c r="S17" s="1">
        <v>91.5</v>
      </c>
      <c r="T17" s="1" t="s">
        <v>3</v>
      </c>
      <c r="U17" s="1">
        <v>461.5</v>
      </c>
      <c r="V17" s="1" t="s">
        <v>3</v>
      </c>
    </row>
    <row r="18" ht="15" customHeight="1" spans="1:22">
      <c r="A18" s="1" t="s">
        <v>141</v>
      </c>
      <c r="B18" s="1" t="s">
        <v>55</v>
      </c>
      <c r="C18" s="1">
        <v>91.5</v>
      </c>
      <c r="D18" s="1" t="s">
        <v>5</v>
      </c>
      <c r="E18" s="1">
        <v>80</v>
      </c>
      <c r="F18" s="1" t="s">
        <v>5</v>
      </c>
      <c r="G18" s="1">
        <v>62.5</v>
      </c>
      <c r="H18" s="1" t="s">
        <v>5</v>
      </c>
      <c r="I18" s="1">
        <v>57.5</v>
      </c>
      <c r="J18" s="1" t="s">
        <v>5</v>
      </c>
      <c r="K18" s="1">
        <v>38.5</v>
      </c>
      <c r="L18" s="1" t="s">
        <v>5</v>
      </c>
      <c r="M18" s="1">
        <v>24</v>
      </c>
      <c r="N18" s="1" t="s">
        <v>2</v>
      </c>
      <c r="O18" s="1">
        <v>44.5</v>
      </c>
      <c r="P18" s="1" t="s">
        <v>3</v>
      </c>
      <c r="Q18" s="1">
        <v>61.5</v>
      </c>
      <c r="R18" s="1" t="s">
        <v>3</v>
      </c>
      <c r="S18" s="1">
        <v>86.5</v>
      </c>
      <c r="T18" s="1" t="s">
        <v>3</v>
      </c>
      <c r="U18" s="1">
        <v>460</v>
      </c>
      <c r="V18" s="1" t="s">
        <v>3</v>
      </c>
    </row>
    <row r="19" ht="15" customHeight="1" spans="1:22">
      <c r="A19" s="1" t="s">
        <v>146</v>
      </c>
      <c r="B19" s="1" t="s">
        <v>55</v>
      </c>
      <c r="C19" s="1">
        <v>92</v>
      </c>
      <c r="D19" s="1" t="s">
        <v>5</v>
      </c>
      <c r="E19" s="1">
        <v>86</v>
      </c>
      <c r="F19" s="1" t="s">
        <v>3</v>
      </c>
      <c r="G19" s="1">
        <v>66.5</v>
      </c>
      <c r="H19" s="1" t="s">
        <v>3</v>
      </c>
      <c r="I19" s="1">
        <v>54</v>
      </c>
      <c r="J19" s="1" t="s">
        <v>5</v>
      </c>
      <c r="K19" s="1">
        <v>39.5</v>
      </c>
      <c r="L19" s="1" t="s">
        <v>5</v>
      </c>
      <c r="M19" s="1">
        <v>23.6</v>
      </c>
      <c r="N19" s="1" t="s">
        <v>3</v>
      </c>
      <c r="O19" s="1">
        <v>40.5</v>
      </c>
      <c r="P19" s="1" t="s">
        <v>5</v>
      </c>
      <c r="Q19" s="1">
        <v>57</v>
      </c>
      <c r="R19" s="1" t="s">
        <v>3</v>
      </c>
      <c r="S19" s="1">
        <v>90.1</v>
      </c>
      <c r="T19" s="1" t="s">
        <v>3</v>
      </c>
      <c r="U19" s="1">
        <v>459.1</v>
      </c>
      <c r="V19" s="1" t="s">
        <v>3</v>
      </c>
    </row>
    <row r="20" ht="15" customHeight="1" spans="1:22">
      <c r="A20" s="1" t="s">
        <v>151</v>
      </c>
      <c r="B20" s="1" t="s">
        <v>55</v>
      </c>
      <c r="C20" s="1">
        <v>89</v>
      </c>
      <c r="D20" s="1" t="s">
        <v>5</v>
      </c>
      <c r="E20" s="1">
        <v>85</v>
      </c>
      <c r="F20" s="1" t="s">
        <v>3</v>
      </c>
      <c r="G20" s="1">
        <v>66.5</v>
      </c>
      <c r="H20" s="1" t="s">
        <v>3</v>
      </c>
      <c r="I20" s="1">
        <v>57</v>
      </c>
      <c r="J20" s="1" t="s">
        <v>5</v>
      </c>
      <c r="K20" s="1">
        <v>40</v>
      </c>
      <c r="L20" s="1" t="s">
        <v>5</v>
      </c>
      <c r="M20" s="1">
        <v>20.9</v>
      </c>
      <c r="N20" s="1" t="s">
        <v>5</v>
      </c>
      <c r="O20" s="1">
        <v>41</v>
      </c>
      <c r="P20" s="1" t="s">
        <v>5</v>
      </c>
      <c r="Q20" s="1">
        <v>51.5</v>
      </c>
      <c r="R20" s="1" t="s">
        <v>5</v>
      </c>
      <c r="S20" s="1">
        <v>87.4</v>
      </c>
      <c r="T20" s="1" t="s">
        <v>3</v>
      </c>
      <c r="U20" s="1">
        <v>450.9</v>
      </c>
      <c r="V20" s="1" t="s">
        <v>5</v>
      </c>
    </row>
    <row r="21" ht="15" customHeight="1" spans="1:22">
      <c r="A21" s="1" t="s">
        <v>156</v>
      </c>
      <c r="B21" s="1" t="s">
        <v>55</v>
      </c>
      <c r="C21" s="1">
        <v>87.5</v>
      </c>
      <c r="D21" s="1" t="s">
        <v>5</v>
      </c>
      <c r="E21" s="1">
        <v>84</v>
      </c>
      <c r="F21" s="1" t="s">
        <v>3</v>
      </c>
      <c r="G21" s="1">
        <v>62</v>
      </c>
      <c r="H21" s="1" t="s">
        <v>5</v>
      </c>
      <c r="I21" s="1">
        <v>60</v>
      </c>
      <c r="J21" s="1" t="s">
        <v>3</v>
      </c>
      <c r="K21" s="1">
        <v>41.5</v>
      </c>
      <c r="L21" s="1" t="s">
        <v>3</v>
      </c>
      <c r="M21" s="1">
        <v>22.1</v>
      </c>
      <c r="N21" s="1" t="s">
        <v>3</v>
      </c>
      <c r="O21" s="1">
        <v>44.5</v>
      </c>
      <c r="P21" s="1" t="s">
        <v>3</v>
      </c>
      <c r="Q21" s="1">
        <v>48.5</v>
      </c>
      <c r="R21" s="1" t="s">
        <v>5</v>
      </c>
      <c r="S21" s="1">
        <v>84.1</v>
      </c>
      <c r="T21" s="1" t="s">
        <v>5</v>
      </c>
      <c r="U21" s="1">
        <v>450.1</v>
      </c>
      <c r="V21" s="1" t="s">
        <v>5</v>
      </c>
    </row>
    <row r="22" ht="15" customHeight="1" spans="1:22">
      <c r="A22" s="1" t="s">
        <v>161</v>
      </c>
      <c r="B22" s="1" t="s">
        <v>55</v>
      </c>
      <c r="C22" s="1">
        <v>90.5</v>
      </c>
      <c r="D22" s="1" t="s">
        <v>5</v>
      </c>
      <c r="E22" s="1">
        <v>79</v>
      </c>
      <c r="F22" s="1" t="s">
        <v>5</v>
      </c>
      <c r="G22" s="1">
        <v>69.5</v>
      </c>
      <c r="H22" s="1" t="s">
        <v>3</v>
      </c>
      <c r="I22" s="1">
        <v>54</v>
      </c>
      <c r="J22" s="1" t="s">
        <v>5</v>
      </c>
      <c r="K22" s="1">
        <v>43.5</v>
      </c>
      <c r="L22" s="1" t="s">
        <v>3</v>
      </c>
      <c r="M22" s="1">
        <v>21.3</v>
      </c>
      <c r="N22" s="1" t="s">
        <v>5</v>
      </c>
      <c r="O22" s="1">
        <v>40</v>
      </c>
      <c r="P22" s="1" t="s">
        <v>5</v>
      </c>
      <c r="Q22" s="1">
        <v>50.5</v>
      </c>
      <c r="R22" s="1" t="s">
        <v>5</v>
      </c>
      <c r="S22" s="1">
        <v>90.8</v>
      </c>
      <c r="T22" s="1" t="s">
        <v>3</v>
      </c>
      <c r="U22" s="1">
        <v>448.3</v>
      </c>
      <c r="V22" s="1" t="s">
        <v>5</v>
      </c>
    </row>
    <row r="23" ht="15" customHeight="1" spans="1:22">
      <c r="A23" s="1" t="s">
        <v>166</v>
      </c>
      <c r="B23" s="1" t="s">
        <v>55</v>
      </c>
      <c r="C23" s="1">
        <v>99</v>
      </c>
      <c r="D23" s="1" t="s">
        <v>3</v>
      </c>
      <c r="E23" s="1">
        <v>75</v>
      </c>
      <c r="F23" s="1" t="s">
        <v>5</v>
      </c>
      <c r="G23" s="1">
        <v>69.5</v>
      </c>
      <c r="H23" s="1" t="s">
        <v>3</v>
      </c>
      <c r="I23" s="1">
        <v>56.5</v>
      </c>
      <c r="J23" s="1" t="s">
        <v>5</v>
      </c>
      <c r="K23" s="1">
        <v>46</v>
      </c>
      <c r="L23" s="1" t="s">
        <v>2</v>
      </c>
      <c r="M23" s="1">
        <v>23.4</v>
      </c>
      <c r="N23" s="1" t="s">
        <v>3</v>
      </c>
      <c r="O23" s="1">
        <v>30</v>
      </c>
      <c r="P23" s="1" t="s">
        <v>7</v>
      </c>
      <c r="Q23" s="1">
        <v>48.5</v>
      </c>
      <c r="R23" s="1" t="s">
        <v>5</v>
      </c>
      <c r="S23" s="1">
        <v>92.9</v>
      </c>
      <c r="T23" s="1" t="s">
        <v>3</v>
      </c>
      <c r="U23" s="1">
        <v>447.9</v>
      </c>
      <c r="V23" s="1" t="s">
        <v>5</v>
      </c>
    </row>
    <row r="24" ht="15" customHeight="1" spans="1:22">
      <c r="A24" s="1" t="s">
        <v>171</v>
      </c>
      <c r="B24" s="1" t="s">
        <v>55</v>
      </c>
      <c r="C24" s="1">
        <v>90</v>
      </c>
      <c r="D24" s="1" t="s">
        <v>5</v>
      </c>
      <c r="E24" s="1">
        <v>74</v>
      </c>
      <c r="F24" s="1" t="s">
        <v>7</v>
      </c>
      <c r="G24" s="1">
        <v>69</v>
      </c>
      <c r="H24" s="1" t="s">
        <v>3</v>
      </c>
      <c r="I24" s="1">
        <v>57</v>
      </c>
      <c r="J24" s="1" t="s">
        <v>5</v>
      </c>
      <c r="K24" s="1">
        <v>40</v>
      </c>
      <c r="L24" s="1" t="s">
        <v>5</v>
      </c>
      <c r="M24" s="1">
        <v>22.7</v>
      </c>
      <c r="N24" s="1" t="s">
        <v>3</v>
      </c>
      <c r="O24" s="1">
        <v>38.5</v>
      </c>
      <c r="P24" s="1" t="s">
        <v>5</v>
      </c>
      <c r="Q24" s="1">
        <v>54</v>
      </c>
      <c r="R24" s="1" t="s">
        <v>5</v>
      </c>
      <c r="S24" s="1">
        <v>91.7</v>
      </c>
      <c r="T24" s="1" t="s">
        <v>3</v>
      </c>
      <c r="U24" s="1">
        <v>445.2</v>
      </c>
      <c r="V24" s="1" t="s">
        <v>5</v>
      </c>
    </row>
    <row r="25" ht="15" customHeight="1" spans="1:22">
      <c r="A25" s="1" t="s">
        <v>176</v>
      </c>
      <c r="B25" s="1" t="s">
        <v>55</v>
      </c>
      <c r="C25" s="1">
        <v>89.5</v>
      </c>
      <c r="D25" s="1" t="s">
        <v>5</v>
      </c>
      <c r="E25" s="1">
        <v>80</v>
      </c>
      <c r="F25" s="1" t="s">
        <v>5</v>
      </c>
      <c r="G25" s="1">
        <v>63</v>
      </c>
      <c r="H25" s="1" t="s">
        <v>5</v>
      </c>
      <c r="I25" s="1">
        <v>61</v>
      </c>
      <c r="J25" s="1" t="s">
        <v>3</v>
      </c>
      <c r="K25" s="1">
        <v>42</v>
      </c>
      <c r="L25" s="1" t="s">
        <v>3</v>
      </c>
      <c r="M25" s="1">
        <v>22</v>
      </c>
      <c r="N25" s="1" t="s">
        <v>3</v>
      </c>
      <c r="O25" s="1">
        <v>33.5</v>
      </c>
      <c r="P25" s="1" t="s">
        <v>7</v>
      </c>
      <c r="Q25" s="1">
        <v>45.5</v>
      </c>
      <c r="R25" s="1" t="s">
        <v>7</v>
      </c>
      <c r="S25" s="1">
        <v>85</v>
      </c>
      <c r="T25" s="1" t="s">
        <v>5</v>
      </c>
      <c r="U25" s="1">
        <v>436.5</v>
      </c>
      <c r="V25" s="1" t="s">
        <v>5</v>
      </c>
    </row>
    <row r="26" ht="15" customHeight="1" spans="1:22">
      <c r="A26" s="1" t="s">
        <v>181</v>
      </c>
      <c r="B26" s="1" t="s">
        <v>55</v>
      </c>
      <c r="C26" s="1">
        <v>91.5</v>
      </c>
      <c r="D26" s="1" t="s">
        <v>5</v>
      </c>
      <c r="E26" s="1">
        <v>77</v>
      </c>
      <c r="F26" s="1" t="s">
        <v>5</v>
      </c>
      <c r="G26" s="1">
        <v>65.5</v>
      </c>
      <c r="H26" s="1" t="s">
        <v>3</v>
      </c>
      <c r="I26" s="1">
        <v>59</v>
      </c>
      <c r="J26" s="1" t="s">
        <v>5</v>
      </c>
      <c r="K26" s="1">
        <v>42</v>
      </c>
      <c r="L26" s="1" t="s">
        <v>3</v>
      </c>
      <c r="M26" s="1">
        <v>22</v>
      </c>
      <c r="N26" s="1" t="s">
        <v>3</v>
      </c>
      <c r="O26" s="1">
        <v>34.5</v>
      </c>
      <c r="P26" s="1" t="s">
        <v>7</v>
      </c>
      <c r="Q26" s="1">
        <v>45</v>
      </c>
      <c r="R26" s="1" t="s">
        <v>7</v>
      </c>
      <c r="S26" s="1">
        <v>87.5</v>
      </c>
      <c r="T26" s="1" t="s">
        <v>3</v>
      </c>
      <c r="U26" s="1">
        <v>436.5</v>
      </c>
      <c r="V26" s="1" t="s">
        <v>5</v>
      </c>
    </row>
    <row r="27" ht="15" customHeight="1" spans="1:22">
      <c r="A27" s="1" t="s">
        <v>186</v>
      </c>
      <c r="B27" s="1" t="s">
        <v>55</v>
      </c>
      <c r="C27" s="1">
        <v>89</v>
      </c>
      <c r="D27" s="1" t="s">
        <v>5</v>
      </c>
      <c r="E27" s="1">
        <v>75</v>
      </c>
      <c r="F27" s="1" t="s">
        <v>5</v>
      </c>
      <c r="G27" s="1">
        <v>63.5</v>
      </c>
      <c r="H27" s="1" t="s">
        <v>5</v>
      </c>
      <c r="I27" s="1">
        <v>59</v>
      </c>
      <c r="J27" s="1" t="s">
        <v>5</v>
      </c>
      <c r="K27" s="1">
        <v>44.5</v>
      </c>
      <c r="L27" s="1" t="s">
        <v>3</v>
      </c>
      <c r="M27" s="1">
        <v>23.7</v>
      </c>
      <c r="N27" s="1" t="s">
        <v>3</v>
      </c>
      <c r="O27" s="1">
        <v>38</v>
      </c>
      <c r="P27" s="1" t="s">
        <v>5</v>
      </c>
      <c r="Q27" s="1">
        <v>43.5</v>
      </c>
      <c r="R27" s="1" t="s">
        <v>7</v>
      </c>
      <c r="S27" s="1">
        <v>87.2</v>
      </c>
      <c r="T27" s="1" t="s">
        <v>3</v>
      </c>
      <c r="U27" s="1">
        <v>436.2</v>
      </c>
      <c r="V27" s="1" t="s">
        <v>5</v>
      </c>
    </row>
    <row r="28" ht="15" customHeight="1" spans="1:22">
      <c r="A28" s="1" t="s">
        <v>191</v>
      </c>
      <c r="B28" s="1" t="s">
        <v>55</v>
      </c>
      <c r="C28" s="1">
        <v>89</v>
      </c>
      <c r="D28" s="1" t="s">
        <v>5</v>
      </c>
      <c r="E28" s="1">
        <v>76</v>
      </c>
      <c r="F28" s="1" t="s">
        <v>5</v>
      </c>
      <c r="G28" s="1">
        <v>67</v>
      </c>
      <c r="H28" s="1" t="s">
        <v>3</v>
      </c>
      <c r="I28" s="1">
        <v>53</v>
      </c>
      <c r="J28" s="1" t="s">
        <v>7</v>
      </c>
      <c r="K28" s="1">
        <v>36.5</v>
      </c>
      <c r="L28" s="1" t="s">
        <v>7</v>
      </c>
      <c r="M28" s="1">
        <v>22.7</v>
      </c>
      <c r="N28" s="1" t="s">
        <v>3</v>
      </c>
      <c r="O28" s="1">
        <v>37</v>
      </c>
      <c r="P28" s="1" t="s">
        <v>7</v>
      </c>
      <c r="Q28" s="1">
        <v>49.5</v>
      </c>
      <c r="R28" s="1" t="s">
        <v>5</v>
      </c>
      <c r="S28" s="1">
        <v>89.7</v>
      </c>
      <c r="T28" s="1" t="s">
        <v>3</v>
      </c>
      <c r="U28" s="1">
        <v>430.7</v>
      </c>
      <c r="V28" s="1" t="s">
        <v>5</v>
      </c>
    </row>
    <row r="29" ht="15" customHeight="1" spans="1:22">
      <c r="A29" s="1" t="s">
        <v>196</v>
      </c>
      <c r="B29" s="1" t="s">
        <v>55</v>
      </c>
      <c r="C29" s="1">
        <v>87.5</v>
      </c>
      <c r="D29" s="1" t="s">
        <v>5</v>
      </c>
      <c r="E29" s="1">
        <v>79</v>
      </c>
      <c r="F29" s="1" t="s">
        <v>5</v>
      </c>
      <c r="G29" s="1">
        <v>60</v>
      </c>
      <c r="H29" s="1" t="s">
        <v>5</v>
      </c>
      <c r="I29" s="1">
        <v>56</v>
      </c>
      <c r="J29" s="1" t="s">
        <v>5</v>
      </c>
      <c r="K29" s="1">
        <v>39</v>
      </c>
      <c r="L29" s="1" t="s">
        <v>5</v>
      </c>
      <c r="M29" s="1">
        <v>22.6</v>
      </c>
      <c r="N29" s="1" t="s">
        <v>3</v>
      </c>
      <c r="O29" s="1">
        <v>35.5</v>
      </c>
      <c r="P29" s="1" t="s">
        <v>7</v>
      </c>
      <c r="Q29" s="1">
        <v>48.5</v>
      </c>
      <c r="R29" s="1" t="s">
        <v>5</v>
      </c>
      <c r="S29" s="1">
        <v>82.6</v>
      </c>
      <c r="T29" s="1" t="s">
        <v>5</v>
      </c>
      <c r="U29" s="1">
        <v>428.1</v>
      </c>
      <c r="V29" s="1" t="s">
        <v>5</v>
      </c>
    </row>
    <row r="30" ht="15" customHeight="1" spans="1:22">
      <c r="A30" s="1" t="s">
        <v>201</v>
      </c>
      <c r="B30" s="1" t="s">
        <v>55</v>
      </c>
      <c r="C30" s="1">
        <v>80</v>
      </c>
      <c r="D30" s="1" t="s">
        <v>7</v>
      </c>
      <c r="E30" s="1">
        <v>84</v>
      </c>
      <c r="F30" s="1" t="s">
        <v>3</v>
      </c>
      <c r="G30" s="1">
        <v>56</v>
      </c>
      <c r="H30" s="1" t="s">
        <v>5</v>
      </c>
      <c r="I30" s="1">
        <v>49.5</v>
      </c>
      <c r="J30" s="1" t="s">
        <v>7</v>
      </c>
      <c r="K30" s="1">
        <v>40</v>
      </c>
      <c r="L30" s="1" t="s">
        <v>5</v>
      </c>
      <c r="M30" s="1">
        <v>21.2</v>
      </c>
      <c r="N30" s="1" t="s">
        <v>5</v>
      </c>
      <c r="O30" s="1">
        <v>42.5</v>
      </c>
      <c r="P30" s="1" t="s">
        <v>5</v>
      </c>
      <c r="Q30" s="1">
        <v>54.5</v>
      </c>
      <c r="R30" s="1" t="s">
        <v>5</v>
      </c>
      <c r="S30" s="1">
        <v>77.2</v>
      </c>
      <c r="T30" s="1" t="s">
        <v>5</v>
      </c>
      <c r="U30" s="1">
        <v>427.7</v>
      </c>
      <c r="V30" s="1" t="s">
        <v>5</v>
      </c>
    </row>
    <row r="31" ht="15" customHeight="1" spans="1:22">
      <c r="A31" s="1" t="s">
        <v>206</v>
      </c>
      <c r="B31" s="1" t="s">
        <v>55</v>
      </c>
      <c r="C31" s="1">
        <v>91.5</v>
      </c>
      <c r="D31" s="1" t="s">
        <v>5</v>
      </c>
      <c r="E31" s="1">
        <v>70</v>
      </c>
      <c r="F31" s="1" t="s">
        <v>7</v>
      </c>
      <c r="G31" s="1">
        <v>69.5</v>
      </c>
      <c r="H31" s="1" t="s">
        <v>3</v>
      </c>
      <c r="I31" s="1">
        <v>51</v>
      </c>
      <c r="J31" s="1" t="s">
        <v>7</v>
      </c>
      <c r="K31" s="1">
        <v>40</v>
      </c>
      <c r="L31" s="1" t="s">
        <v>5</v>
      </c>
      <c r="M31" s="1">
        <v>21.6</v>
      </c>
      <c r="N31" s="1" t="s">
        <v>5</v>
      </c>
      <c r="O31" s="1">
        <v>35.5</v>
      </c>
      <c r="P31" s="1" t="s">
        <v>7</v>
      </c>
      <c r="Q31" s="1">
        <v>48.5</v>
      </c>
      <c r="R31" s="1" t="s">
        <v>5</v>
      </c>
      <c r="S31" s="1">
        <v>91.1</v>
      </c>
      <c r="T31" s="1" t="s">
        <v>3</v>
      </c>
      <c r="U31" s="1">
        <v>427.6</v>
      </c>
      <c r="V31" s="1" t="s">
        <v>5</v>
      </c>
    </row>
    <row r="32" ht="15" customHeight="1" spans="1:22">
      <c r="A32" s="1" t="s">
        <v>211</v>
      </c>
      <c r="B32" s="1" t="s">
        <v>55</v>
      </c>
      <c r="C32" s="1">
        <v>93</v>
      </c>
      <c r="D32" s="1" t="s">
        <v>3</v>
      </c>
      <c r="E32" s="1">
        <v>82</v>
      </c>
      <c r="F32" s="1" t="s">
        <v>5</v>
      </c>
      <c r="G32" s="1">
        <v>59.5</v>
      </c>
      <c r="H32" s="1" t="s">
        <v>5</v>
      </c>
      <c r="I32" s="1">
        <v>60.5</v>
      </c>
      <c r="J32" s="1" t="s">
        <v>3</v>
      </c>
      <c r="K32" s="1">
        <v>37.5</v>
      </c>
      <c r="L32" s="1" t="s">
        <v>5</v>
      </c>
      <c r="M32" s="1">
        <v>20.9</v>
      </c>
      <c r="N32" s="1" t="s">
        <v>5</v>
      </c>
      <c r="O32" s="1">
        <v>26.5</v>
      </c>
      <c r="P32" s="1" t="s">
        <v>7</v>
      </c>
      <c r="Q32" s="1">
        <v>39</v>
      </c>
      <c r="R32" s="1" t="s">
        <v>7</v>
      </c>
      <c r="S32" s="1">
        <v>80.4</v>
      </c>
      <c r="T32" s="1" t="s">
        <v>5</v>
      </c>
      <c r="U32" s="1">
        <v>418.9</v>
      </c>
      <c r="V32" s="1" t="s">
        <v>5</v>
      </c>
    </row>
    <row r="33" ht="15" customHeight="1" spans="1:22">
      <c r="A33" s="1" t="s">
        <v>216</v>
      </c>
      <c r="B33" s="1" t="s">
        <v>55</v>
      </c>
      <c r="C33" s="1">
        <v>81</v>
      </c>
      <c r="D33" s="1" t="s">
        <v>7</v>
      </c>
      <c r="E33" s="1">
        <v>77</v>
      </c>
      <c r="F33" s="1" t="s">
        <v>5</v>
      </c>
      <c r="G33" s="1">
        <v>64</v>
      </c>
      <c r="H33" s="1" t="s">
        <v>3</v>
      </c>
      <c r="I33" s="1">
        <v>47.5</v>
      </c>
      <c r="J33" s="1" t="s">
        <v>7</v>
      </c>
      <c r="K33" s="1">
        <v>33</v>
      </c>
      <c r="L33" s="1" t="s">
        <v>7</v>
      </c>
      <c r="M33" s="1">
        <v>20.3</v>
      </c>
      <c r="N33" s="1" t="s">
        <v>5</v>
      </c>
      <c r="O33" s="1">
        <v>37.5</v>
      </c>
      <c r="P33" s="1" t="s">
        <v>5</v>
      </c>
      <c r="Q33" s="1">
        <v>50.5</v>
      </c>
      <c r="R33" s="1" t="s">
        <v>5</v>
      </c>
      <c r="S33" s="1">
        <v>84.3</v>
      </c>
      <c r="T33" s="1" t="s">
        <v>5</v>
      </c>
      <c r="U33" s="1">
        <v>410.8</v>
      </c>
      <c r="V33" s="1" t="s">
        <v>5</v>
      </c>
    </row>
    <row r="34" ht="15" customHeight="1" spans="1:22">
      <c r="A34" s="1" t="s">
        <v>221</v>
      </c>
      <c r="B34" s="1" t="s">
        <v>55</v>
      </c>
      <c r="C34" s="1">
        <v>76.5</v>
      </c>
      <c r="D34" s="1" t="s">
        <v>7</v>
      </c>
      <c r="E34" s="1">
        <v>84</v>
      </c>
      <c r="F34" s="1" t="s">
        <v>3</v>
      </c>
      <c r="G34" s="1">
        <v>54</v>
      </c>
      <c r="H34" s="1" t="s">
        <v>5</v>
      </c>
      <c r="I34" s="1">
        <v>47.5</v>
      </c>
      <c r="J34" s="1" t="s">
        <v>7</v>
      </c>
      <c r="K34" s="1">
        <v>37.5</v>
      </c>
      <c r="L34" s="1" t="s">
        <v>5</v>
      </c>
      <c r="M34" s="1">
        <v>14.9</v>
      </c>
      <c r="N34" s="1" t="s">
        <v>7</v>
      </c>
      <c r="O34" s="1">
        <v>29.5</v>
      </c>
      <c r="P34" s="1" t="s">
        <v>7</v>
      </c>
      <c r="Q34" s="1">
        <v>47</v>
      </c>
      <c r="R34" s="1" t="s">
        <v>5</v>
      </c>
      <c r="S34" s="1">
        <v>68.9</v>
      </c>
      <c r="T34" s="1" t="s">
        <v>5</v>
      </c>
      <c r="U34" s="1">
        <v>390.9</v>
      </c>
      <c r="V34" s="1" t="s">
        <v>7</v>
      </c>
    </row>
    <row r="35" ht="15" customHeight="1" spans="1:22">
      <c r="A35" s="1" t="s">
        <v>226</v>
      </c>
      <c r="B35" s="1" t="s">
        <v>55</v>
      </c>
      <c r="C35" s="1">
        <v>85</v>
      </c>
      <c r="D35" s="1" t="s">
        <v>5</v>
      </c>
      <c r="E35" s="1">
        <v>69</v>
      </c>
      <c r="F35" s="1" t="s">
        <v>7</v>
      </c>
      <c r="G35" s="1">
        <v>60</v>
      </c>
      <c r="H35" s="1" t="s">
        <v>5</v>
      </c>
      <c r="I35" s="1">
        <v>45</v>
      </c>
      <c r="J35" s="1" t="s">
        <v>9</v>
      </c>
      <c r="K35" s="1">
        <v>37</v>
      </c>
      <c r="L35" s="1" t="s">
        <v>7</v>
      </c>
      <c r="M35" s="1">
        <v>21.5</v>
      </c>
      <c r="N35" s="1" t="s">
        <v>5</v>
      </c>
      <c r="O35" s="1">
        <v>27.5</v>
      </c>
      <c r="P35" s="1" t="s">
        <v>7</v>
      </c>
      <c r="Q35" s="1">
        <v>44</v>
      </c>
      <c r="R35" s="1" t="s">
        <v>7</v>
      </c>
      <c r="S35" s="1">
        <v>81.5</v>
      </c>
      <c r="T35" s="1" t="s">
        <v>5</v>
      </c>
      <c r="U35" s="1">
        <v>389</v>
      </c>
      <c r="V35" s="1" t="s">
        <v>7</v>
      </c>
    </row>
    <row r="36" ht="15" customHeight="1" spans="1:22">
      <c r="A36" s="1" t="s">
        <v>231</v>
      </c>
      <c r="B36" s="1" t="s">
        <v>55</v>
      </c>
      <c r="C36" s="1">
        <v>84</v>
      </c>
      <c r="D36" s="1" t="s">
        <v>7</v>
      </c>
      <c r="E36" s="1">
        <v>80</v>
      </c>
      <c r="F36" s="1" t="s">
        <v>5</v>
      </c>
      <c r="G36" s="1">
        <v>31</v>
      </c>
      <c r="H36" s="1" t="s">
        <v>7</v>
      </c>
      <c r="I36" s="1">
        <v>53</v>
      </c>
      <c r="J36" s="1" t="s">
        <v>7</v>
      </c>
      <c r="K36" s="1">
        <v>40</v>
      </c>
      <c r="L36" s="1" t="s">
        <v>5</v>
      </c>
      <c r="M36" s="1">
        <v>16.7</v>
      </c>
      <c r="N36" s="1" t="s">
        <v>7</v>
      </c>
      <c r="O36" s="1">
        <v>40</v>
      </c>
      <c r="P36" s="1" t="s">
        <v>5</v>
      </c>
      <c r="Q36" s="1">
        <v>40.5</v>
      </c>
      <c r="R36" s="1" t="s">
        <v>7</v>
      </c>
      <c r="S36" s="1">
        <v>47.7</v>
      </c>
      <c r="T36" s="1" t="s">
        <v>7</v>
      </c>
      <c r="U36" s="1">
        <v>385.2</v>
      </c>
      <c r="V36" s="1" t="s">
        <v>7</v>
      </c>
    </row>
    <row r="37" ht="15" customHeight="1" spans="1:22">
      <c r="A37" s="1" t="s">
        <v>236</v>
      </c>
      <c r="B37" s="1" t="s">
        <v>55</v>
      </c>
      <c r="C37" s="1">
        <v>79</v>
      </c>
      <c r="D37" s="1" t="s">
        <v>7</v>
      </c>
      <c r="E37" s="1">
        <v>68</v>
      </c>
      <c r="F37" s="1" t="s">
        <v>7</v>
      </c>
      <c r="G37" s="1">
        <v>59.5</v>
      </c>
      <c r="H37" s="1" t="s">
        <v>5</v>
      </c>
      <c r="I37" s="1">
        <v>43</v>
      </c>
      <c r="J37" s="1" t="s">
        <v>9</v>
      </c>
      <c r="K37" s="1">
        <v>36.5</v>
      </c>
      <c r="L37" s="1" t="s">
        <v>7</v>
      </c>
      <c r="M37" s="1">
        <v>19.2</v>
      </c>
      <c r="N37" s="1" t="s">
        <v>5</v>
      </c>
      <c r="O37" s="1">
        <v>29</v>
      </c>
      <c r="P37" s="1" t="s">
        <v>7</v>
      </c>
      <c r="Q37" s="1">
        <v>38.5</v>
      </c>
      <c r="R37" s="1" t="s">
        <v>7</v>
      </c>
      <c r="S37" s="1">
        <v>78.7</v>
      </c>
      <c r="T37" s="1" t="s">
        <v>5</v>
      </c>
      <c r="U37" s="1">
        <v>372.7</v>
      </c>
      <c r="V37" s="1" t="s">
        <v>7</v>
      </c>
    </row>
    <row r="38" ht="15" customHeight="1" spans="1:22">
      <c r="A38" s="1" t="s">
        <v>241</v>
      </c>
      <c r="B38" s="1" t="s">
        <v>55</v>
      </c>
      <c r="C38" s="1">
        <v>83.5</v>
      </c>
      <c r="D38" s="1" t="s">
        <v>7</v>
      </c>
      <c r="E38" s="1">
        <v>60</v>
      </c>
      <c r="F38" s="1" t="s">
        <v>7</v>
      </c>
      <c r="G38" s="1">
        <v>57</v>
      </c>
      <c r="H38" s="1" t="s">
        <v>5</v>
      </c>
      <c r="I38" s="1">
        <v>55.5</v>
      </c>
      <c r="J38" s="1" t="s">
        <v>5</v>
      </c>
      <c r="K38" s="1">
        <v>37</v>
      </c>
      <c r="L38" s="1" t="s">
        <v>7</v>
      </c>
      <c r="M38" s="1">
        <v>22.9</v>
      </c>
      <c r="N38" s="1" t="s">
        <v>3</v>
      </c>
      <c r="O38" s="1">
        <v>25</v>
      </c>
      <c r="P38" s="1" t="s">
        <v>7</v>
      </c>
      <c r="Q38" s="1">
        <v>29.5</v>
      </c>
      <c r="R38" s="1" t="s">
        <v>7</v>
      </c>
      <c r="S38" s="1">
        <v>79.9</v>
      </c>
      <c r="T38" s="1" t="s">
        <v>5</v>
      </c>
      <c r="U38" s="1">
        <v>370.4</v>
      </c>
      <c r="V38" s="1" t="s">
        <v>7</v>
      </c>
    </row>
    <row r="39" ht="15" customHeight="1" spans="1:22">
      <c r="A39" s="1" t="s">
        <v>246</v>
      </c>
      <c r="B39" s="1" t="s">
        <v>55</v>
      </c>
      <c r="C39" s="1">
        <v>75.5</v>
      </c>
      <c r="D39" s="1" t="s">
        <v>7</v>
      </c>
      <c r="E39" s="1">
        <v>60</v>
      </c>
      <c r="F39" s="1" t="s">
        <v>7</v>
      </c>
      <c r="G39" s="1">
        <v>33.5</v>
      </c>
      <c r="H39" s="1" t="s">
        <v>7</v>
      </c>
      <c r="I39" s="1">
        <v>57.5</v>
      </c>
      <c r="J39" s="1" t="s">
        <v>5</v>
      </c>
      <c r="K39" s="1">
        <v>40.5</v>
      </c>
      <c r="L39" s="1" t="s">
        <v>5</v>
      </c>
      <c r="M39" s="1">
        <v>14.1</v>
      </c>
      <c r="N39" s="1" t="s">
        <v>7</v>
      </c>
      <c r="O39" s="1">
        <v>48</v>
      </c>
      <c r="P39" s="1" t="s">
        <v>2</v>
      </c>
      <c r="Q39" s="1">
        <v>40</v>
      </c>
      <c r="R39" s="1" t="s">
        <v>7</v>
      </c>
      <c r="S39" s="1">
        <v>47.6</v>
      </c>
      <c r="T39" s="1" t="s">
        <v>7</v>
      </c>
      <c r="U39" s="1">
        <v>369.1</v>
      </c>
      <c r="V39" s="1" t="s">
        <v>7</v>
      </c>
    </row>
    <row r="40" ht="15" customHeight="1" spans="1:22">
      <c r="A40" s="1" t="s">
        <v>251</v>
      </c>
      <c r="B40" s="1" t="s">
        <v>55</v>
      </c>
      <c r="C40" s="1">
        <v>88</v>
      </c>
      <c r="D40" s="1" t="s">
        <v>5</v>
      </c>
      <c r="E40" s="1">
        <v>74</v>
      </c>
      <c r="F40" s="1" t="s">
        <v>7</v>
      </c>
      <c r="G40" s="1">
        <v>28</v>
      </c>
      <c r="H40" s="1" t="s">
        <v>7</v>
      </c>
      <c r="I40" s="1">
        <v>54.5</v>
      </c>
      <c r="J40" s="1" t="s">
        <v>5</v>
      </c>
      <c r="K40" s="1">
        <v>39</v>
      </c>
      <c r="L40" s="1" t="s">
        <v>5</v>
      </c>
      <c r="M40" s="1">
        <v>12.8</v>
      </c>
      <c r="N40" s="1" t="s">
        <v>7</v>
      </c>
      <c r="O40" s="1">
        <v>26.5</v>
      </c>
      <c r="P40" s="1" t="s">
        <v>7</v>
      </c>
      <c r="Q40" s="1">
        <v>42</v>
      </c>
      <c r="R40" s="1" t="s">
        <v>7</v>
      </c>
      <c r="S40" s="1">
        <v>40.8</v>
      </c>
      <c r="T40" s="1" t="s">
        <v>7</v>
      </c>
      <c r="U40" s="1">
        <v>364.8</v>
      </c>
      <c r="V40" s="1" t="s">
        <v>7</v>
      </c>
    </row>
    <row r="41" ht="15" customHeight="1" spans="1:22">
      <c r="A41" s="1" t="s">
        <v>256</v>
      </c>
      <c r="B41" s="1" t="s">
        <v>55</v>
      </c>
      <c r="C41" s="1">
        <v>67</v>
      </c>
      <c r="D41" s="1" t="s">
        <v>9</v>
      </c>
      <c r="E41" s="1">
        <v>78</v>
      </c>
      <c r="F41" s="1" t="s">
        <v>5</v>
      </c>
      <c r="G41" s="1">
        <v>27.5</v>
      </c>
      <c r="H41" s="1" t="s">
        <v>7</v>
      </c>
      <c r="I41" s="1">
        <v>51.5</v>
      </c>
      <c r="J41" s="1" t="s">
        <v>7</v>
      </c>
      <c r="K41" s="1">
        <v>33.5</v>
      </c>
      <c r="L41" s="1" t="s">
        <v>7</v>
      </c>
      <c r="M41" s="1">
        <v>11.3</v>
      </c>
      <c r="N41" s="1" t="s">
        <v>9</v>
      </c>
      <c r="O41" s="1">
        <v>40</v>
      </c>
      <c r="P41" s="1" t="s">
        <v>5</v>
      </c>
      <c r="Q41" s="1">
        <v>39.5</v>
      </c>
      <c r="R41" s="1" t="s">
        <v>7</v>
      </c>
      <c r="S41" s="1">
        <v>38.8</v>
      </c>
      <c r="T41" s="1" t="s">
        <v>7</v>
      </c>
      <c r="U41" s="1">
        <v>348.3</v>
      </c>
      <c r="V41" s="1" t="s">
        <v>7</v>
      </c>
    </row>
    <row r="42" ht="15" customHeight="1" spans="1:22">
      <c r="A42" s="1" t="s">
        <v>261</v>
      </c>
      <c r="B42" s="1" t="s">
        <v>55</v>
      </c>
      <c r="C42" s="1">
        <v>81</v>
      </c>
      <c r="D42" s="1" t="s">
        <v>7</v>
      </c>
      <c r="E42" s="1">
        <v>44</v>
      </c>
      <c r="F42" s="1" t="s">
        <v>9</v>
      </c>
      <c r="G42" s="1">
        <v>39</v>
      </c>
      <c r="H42" s="1" t="s">
        <v>7</v>
      </c>
      <c r="I42" s="1">
        <v>55.5</v>
      </c>
      <c r="J42" s="1" t="s">
        <v>5</v>
      </c>
      <c r="K42" s="1">
        <v>36.5</v>
      </c>
      <c r="L42" s="1" t="s">
        <v>7</v>
      </c>
      <c r="M42" s="1">
        <v>15.6</v>
      </c>
      <c r="N42" s="1" t="s">
        <v>7</v>
      </c>
      <c r="O42" s="1">
        <v>27</v>
      </c>
      <c r="P42" s="1" t="s">
        <v>7</v>
      </c>
      <c r="Q42" s="1">
        <v>42.5</v>
      </c>
      <c r="R42" s="1" t="s">
        <v>7</v>
      </c>
      <c r="S42" s="1">
        <v>54.6</v>
      </c>
      <c r="T42" s="1" t="s">
        <v>7</v>
      </c>
      <c r="U42" s="1">
        <v>341.1</v>
      </c>
      <c r="V42" s="1" t="s">
        <v>7</v>
      </c>
    </row>
    <row r="43" ht="15" customHeight="1" spans="1:22">
      <c r="A43" s="1" t="s">
        <v>266</v>
      </c>
      <c r="B43" s="1" t="s">
        <v>55</v>
      </c>
      <c r="C43" s="1">
        <v>76</v>
      </c>
      <c r="D43" s="1" t="s">
        <v>7</v>
      </c>
      <c r="E43" s="1">
        <v>73</v>
      </c>
      <c r="F43" s="1" t="s">
        <v>7</v>
      </c>
      <c r="G43" s="1">
        <v>25.5</v>
      </c>
      <c r="H43" s="1" t="s">
        <v>9</v>
      </c>
      <c r="I43" s="1">
        <v>56</v>
      </c>
      <c r="J43" s="1" t="s">
        <v>5</v>
      </c>
      <c r="K43" s="1">
        <v>35</v>
      </c>
      <c r="L43" s="1" t="s">
        <v>7</v>
      </c>
      <c r="M43" s="1">
        <v>13.8</v>
      </c>
      <c r="N43" s="1" t="s">
        <v>7</v>
      </c>
      <c r="O43" s="1">
        <v>33</v>
      </c>
      <c r="P43" s="1" t="s">
        <v>7</v>
      </c>
      <c r="Q43" s="1">
        <v>26.5</v>
      </c>
      <c r="R43" s="1" t="s">
        <v>9</v>
      </c>
      <c r="S43" s="1">
        <v>39.3</v>
      </c>
      <c r="T43" s="1" t="s">
        <v>7</v>
      </c>
      <c r="U43" s="1">
        <v>338.8</v>
      </c>
      <c r="V43" s="1" t="s">
        <v>7</v>
      </c>
    </row>
    <row r="44" ht="15" customHeight="1" spans="1:22">
      <c r="A44" s="1" t="s">
        <v>271</v>
      </c>
      <c r="B44" s="1" t="s">
        <v>55</v>
      </c>
      <c r="C44" s="1">
        <v>78.5</v>
      </c>
      <c r="D44" s="1" t="s">
        <v>7</v>
      </c>
      <c r="E44" s="1">
        <v>51</v>
      </c>
      <c r="F44" s="1" t="s">
        <v>7</v>
      </c>
      <c r="G44" s="1">
        <v>35.5</v>
      </c>
      <c r="H44" s="1" t="s">
        <v>7</v>
      </c>
      <c r="I44" s="1">
        <v>51.5</v>
      </c>
      <c r="J44" s="1" t="s">
        <v>7</v>
      </c>
      <c r="K44" s="1">
        <v>30.5</v>
      </c>
      <c r="L44" s="1" t="s">
        <v>9</v>
      </c>
      <c r="M44" s="1">
        <v>20.9</v>
      </c>
      <c r="N44" s="1" t="s">
        <v>5</v>
      </c>
      <c r="O44" s="1">
        <v>21.5</v>
      </c>
      <c r="P44" s="1" t="s">
        <v>9</v>
      </c>
      <c r="Q44" s="1">
        <v>27</v>
      </c>
      <c r="R44" s="1" t="s">
        <v>9</v>
      </c>
      <c r="S44" s="1">
        <v>56.4</v>
      </c>
      <c r="T44" s="1" t="s">
        <v>7</v>
      </c>
      <c r="U44" s="1">
        <v>316.4</v>
      </c>
      <c r="V44" s="1" t="s">
        <v>7</v>
      </c>
    </row>
    <row r="45" ht="15" customHeight="1" spans="1:22">
      <c r="A45" s="1" t="s">
        <v>276</v>
      </c>
      <c r="B45" s="1" t="s">
        <v>55</v>
      </c>
      <c r="C45" s="1">
        <v>72</v>
      </c>
      <c r="D45" s="1" t="s">
        <v>9</v>
      </c>
      <c r="E45" s="1">
        <v>21</v>
      </c>
      <c r="F45" s="1" t="s">
        <v>9</v>
      </c>
      <c r="G45" s="1">
        <v>19</v>
      </c>
      <c r="H45" s="1" t="s">
        <v>9</v>
      </c>
      <c r="I45" s="1">
        <v>51.5</v>
      </c>
      <c r="J45" s="1" t="s">
        <v>7</v>
      </c>
      <c r="K45" s="1">
        <v>35.5</v>
      </c>
      <c r="L45" s="1" t="s">
        <v>7</v>
      </c>
      <c r="M45" s="1">
        <v>9.2</v>
      </c>
      <c r="N45" s="1" t="s">
        <v>9</v>
      </c>
      <c r="O45" s="1">
        <v>21</v>
      </c>
      <c r="P45" s="1" t="s">
        <v>9</v>
      </c>
      <c r="Q45" s="1">
        <v>20</v>
      </c>
      <c r="R45" s="1" t="s">
        <v>9</v>
      </c>
      <c r="S45" s="1">
        <v>28.2</v>
      </c>
      <c r="T45" s="1" t="s">
        <v>9</v>
      </c>
      <c r="U45" s="1">
        <v>249.2</v>
      </c>
      <c r="V45" s="1" t="s">
        <v>9</v>
      </c>
    </row>
    <row r="46" ht="15" customHeight="1" spans="1:22">
      <c r="A46" s="1" t="s">
        <v>281</v>
      </c>
      <c r="B46" s="1" t="s">
        <v>55</v>
      </c>
      <c r="C46" s="1">
        <v>44</v>
      </c>
      <c r="D46" s="1" t="s">
        <v>10</v>
      </c>
      <c r="E46" s="1">
        <v>33</v>
      </c>
      <c r="F46" s="1" t="s">
        <v>9</v>
      </c>
      <c r="G46" s="1">
        <v>10</v>
      </c>
      <c r="H46" s="1" t="s">
        <v>10</v>
      </c>
      <c r="I46" s="1">
        <v>32</v>
      </c>
      <c r="J46" s="1" t="s">
        <v>9</v>
      </c>
      <c r="K46" s="1">
        <v>24</v>
      </c>
      <c r="L46" s="1" t="s">
        <v>9</v>
      </c>
      <c r="M46" s="1">
        <v>14.9</v>
      </c>
      <c r="N46" s="1" t="s">
        <v>7</v>
      </c>
      <c r="O46" s="1">
        <v>22.5</v>
      </c>
      <c r="P46" s="1" t="s">
        <v>9</v>
      </c>
      <c r="Q46" s="1">
        <v>18.5</v>
      </c>
      <c r="R46" s="1" t="s">
        <v>9</v>
      </c>
      <c r="S46" s="1">
        <v>24.9</v>
      </c>
      <c r="T46" s="1" t="s">
        <v>9</v>
      </c>
      <c r="U46" s="1">
        <v>198.9</v>
      </c>
      <c r="V46" s="1" t="s">
        <v>9</v>
      </c>
    </row>
    <row r="47" ht="15" customHeight="1" spans="1:22">
      <c r="A47" s="1" t="s">
        <v>283</v>
      </c>
      <c r="B47" s="1" t="s">
        <v>55</v>
      </c>
      <c r="C47" s="1">
        <v>38.5</v>
      </c>
      <c r="D47" s="1" t="s">
        <v>10</v>
      </c>
      <c r="E47" s="1">
        <v>15</v>
      </c>
      <c r="F47" s="1" t="s">
        <v>10</v>
      </c>
      <c r="G47" s="1">
        <v>14.5</v>
      </c>
      <c r="H47" s="1" t="s">
        <v>9</v>
      </c>
      <c r="I47" s="1">
        <v>29.5</v>
      </c>
      <c r="J47" s="1" t="s">
        <v>9</v>
      </c>
      <c r="K47" s="1">
        <v>24</v>
      </c>
      <c r="L47" s="1" t="s">
        <v>9</v>
      </c>
      <c r="M47" s="1">
        <v>10.7</v>
      </c>
      <c r="N47" s="1" t="s">
        <v>9</v>
      </c>
      <c r="O47" s="1">
        <v>3</v>
      </c>
      <c r="P47" s="1" t="s">
        <v>10</v>
      </c>
      <c r="Q47" s="1">
        <v>16</v>
      </c>
      <c r="R47" s="1" t="s">
        <v>9</v>
      </c>
      <c r="S47" s="1">
        <v>25.2</v>
      </c>
      <c r="T47" s="1" t="s">
        <v>9</v>
      </c>
      <c r="U47" s="1">
        <v>151.2</v>
      </c>
      <c r="V47" s="1" t="s">
        <v>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5"/>
  <sheetViews>
    <sheetView showGridLines="0" workbookViewId="0">
      <selection activeCell="A1" sqref="A1"/>
    </sheetView>
  </sheetViews>
  <sheetFormatPr defaultColWidth="9" defaultRowHeight="13.5"/>
  <sheetData>
    <row r="1" ht="15" customHeight="1" spans="1:22">
      <c r="A1" s="1" t="s">
        <v>288</v>
      </c>
      <c r="B1" s="1" t="s">
        <v>289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313</v>
      </c>
    </row>
    <row r="2" ht="15" customHeight="1" spans="1:22">
      <c r="A2" s="1" t="s">
        <v>61</v>
      </c>
      <c r="B2" s="1" t="s">
        <v>56</v>
      </c>
      <c r="C2" s="1">
        <v>106.5</v>
      </c>
      <c r="D2" s="1" t="s">
        <v>2</v>
      </c>
      <c r="E2" s="1">
        <v>97</v>
      </c>
      <c r="F2" s="1" t="s">
        <v>2</v>
      </c>
      <c r="G2" s="1">
        <v>71.5</v>
      </c>
      <c r="H2" s="1" t="s">
        <v>2</v>
      </c>
      <c r="I2" s="1">
        <v>65</v>
      </c>
      <c r="J2" s="1" t="s">
        <v>2</v>
      </c>
      <c r="K2" s="1">
        <v>46</v>
      </c>
      <c r="L2" s="1" t="s">
        <v>2</v>
      </c>
      <c r="M2" s="1">
        <v>23.6</v>
      </c>
      <c r="N2" s="1" t="s">
        <v>3</v>
      </c>
      <c r="O2" s="1">
        <v>49.5</v>
      </c>
      <c r="P2" s="1" t="s">
        <v>2</v>
      </c>
      <c r="Q2" s="1">
        <v>65</v>
      </c>
      <c r="R2" s="1" t="s">
        <v>2</v>
      </c>
      <c r="S2" s="1">
        <v>95.1</v>
      </c>
      <c r="T2" s="1" t="s">
        <v>2</v>
      </c>
      <c r="U2" s="1">
        <v>524.1</v>
      </c>
      <c r="V2" s="1" t="s">
        <v>2</v>
      </c>
    </row>
    <row r="3" ht="15" customHeight="1" spans="1:22">
      <c r="A3" s="1" t="s">
        <v>66</v>
      </c>
      <c r="B3" s="1" t="s">
        <v>56</v>
      </c>
      <c r="C3" s="1">
        <v>102</v>
      </c>
      <c r="D3" s="1" t="s">
        <v>2</v>
      </c>
      <c r="E3" s="1">
        <v>91</v>
      </c>
      <c r="F3" s="1" t="s">
        <v>2</v>
      </c>
      <c r="G3" s="1">
        <v>71.5</v>
      </c>
      <c r="H3" s="1" t="s">
        <v>2</v>
      </c>
      <c r="I3" s="1">
        <v>63.5</v>
      </c>
      <c r="J3" s="1" t="s">
        <v>3</v>
      </c>
      <c r="K3" s="1">
        <v>46</v>
      </c>
      <c r="L3" s="1" t="s">
        <v>2</v>
      </c>
      <c r="M3" s="1">
        <v>24.1</v>
      </c>
      <c r="N3" s="1" t="s">
        <v>2</v>
      </c>
      <c r="O3" s="1">
        <v>44.5</v>
      </c>
      <c r="P3" s="1" t="s">
        <v>3</v>
      </c>
      <c r="Q3" s="1">
        <v>63</v>
      </c>
      <c r="R3" s="1" t="s">
        <v>3</v>
      </c>
      <c r="S3" s="1">
        <v>95.6</v>
      </c>
      <c r="T3" s="1" t="s">
        <v>2</v>
      </c>
      <c r="U3" s="1">
        <v>505.6</v>
      </c>
      <c r="V3" s="1" t="s">
        <v>2</v>
      </c>
    </row>
    <row r="4" ht="15" customHeight="1" spans="1:22">
      <c r="A4" s="1" t="s">
        <v>71</v>
      </c>
      <c r="B4" s="1" t="s">
        <v>56</v>
      </c>
      <c r="C4" s="1">
        <v>103.5</v>
      </c>
      <c r="D4" s="1" t="s">
        <v>2</v>
      </c>
      <c r="E4" s="1">
        <v>87</v>
      </c>
      <c r="F4" s="1" t="s">
        <v>3</v>
      </c>
      <c r="G4" s="1">
        <v>70</v>
      </c>
      <c r="H4" s="1" t="s">
        <v>3</v>
      </c>
      <c r="I4" s="1">
        <v>66.5</v>
      </c>
      <c r="J4" s="1" t="s">
        <v>2</v>
      </c>
      <c r="K4" s="1">
        <v>42.5</v>
      </c>
      <c r="L4" s="1" t="s">
        <v>3</v>
      </c>
      <c r="M4" s="1">
        <v>24.1</v>
      </c>
      <c r="N4" s="1" t="s">
        <v>2</v>
      </c>
      <c r="O4" s="1">
        <v>46</v>
      </c>
      <c r="P4" s="1" t="s">
        <v>3</v>
      </c>
      <c r="Q4" s="1">
        <v>61</v>
      </c>
      <c r="R4" s="1" t="s">
        <v>3</v>
      </c>
      <c r="S4" s="1">
        <v>94.1</v>
      </c>
      <c r="T4" s="1" t="s">
        <v>3</v>
      </c>
      <c r="U4" s="1">
        <v>500.6</v>
      </c>
      <c r="V4" s="1" t="s">
        <v>2</v>
      </c>
    </row>
    <row r="5" ht="15" customHeight="1" spans="1:22">
      <c r="A5" s="1" t="s">
        <v>76</v>
      </c>
      <c r="B5" s="1" t="s">
        <v>56</v>
      </c>
      <c r="C5" s="1">
        <v>99</v>
      </c>
      <c r="D5" s="1" t="s">
        <v>3</v>
      </c>
      <c r="E5" s="1">
        <v>90</v>
      </c>
      <c r="F5" s="1" t="s">
        <v>3</v>
      </c>
      <c r="G5" s="1">
        <v>70.5</v>
      </c>
      <c r="H5" s="1" t="s">
        <v>3</v>
      </c>
      <c r="I5" s="1">
        <v>61.5</v>
      </c>
      <c r="J5" s="1" t="s">
        <v>3</v>
      </c>
      <c r="K5" s="1">
        <v>44</v>
      </c>
      <c r="L5" s="1" t="s">
        <v>3</v>
      </c>
      <c r="M5" s="1">
        <v>24</v>
      </c>
      <c r="N5" s="1" t="s">
        <v>2</v>
      </c>
      <c r="O5" s="1">
        <v>44.5</v>
      </c>
      <c r="P5" s="1" t="s">
        <v>3</v>
      </c>
      <c r="Q5" s="1">
        <v>58.5</v>
      </c>
      <c r="R5" s="1" t="s">
        <v>3</v>
      </c>
      <c r="S5" s="1">
        <v>94.5</v>
      </c>
      <c r="T5" s="1" t="s">
        <v>3</v>
      </c>
      <c r="U5" s="1">
        <v>492</v>
      </c>
      <c r="V5" s="1" t="s">
        <v>3</v>
      </c>
    </row>
    <row r="6" ht="15" customHeight="1" spans="1:22">
      <c r="A6" s="1" t="s">
        <v>81</v>
      </c>
      <c r="B6" s="1" t="s">
        <v>56</v>
      </c>
      <c r="C6" s="1">
        <v>105.5</v>
      </c>
      <c r="D6" s="1" t="s">
        <v>2</v>
      </c>
      <c r="E6" s="1">
        <v>87</v>
      </c>
      <c r="F6" s="1" t="s">
        <v>3</v>
      </c>
      <c r="G6" s="1">
        <v>68.5</v>
      </c>
      <c r="H6" s="1" t="s">
        <v>3</v>
      </c>
      <c r="I6" s="1">
        <v>64.5</v>
      </c>
      <c r="J6" s="1" t="s">
        <v>3</v>
      </c>
      <c r="K6" s="1">
        <v>46.5</v>
      </c>
      <c r="L6" s="1" t="s">
        <v>2</v>
      </c>
      <c r="M6" s="1">
        <v>23.4</v>
      </c>
      <c r="N6" s="1" t="s">
        <v>3</v>
      </c>
      <c r="O6" s="1">
        <v>43</v>
      </c>
      <c r="P6" s="1" t="s">
        <v>5</v>
      </c>
      <c r="Q6" s="1">
        <v>47.5</v>
      </c>
      <c r="R6" s="1" t="s">
        <v>5</v>
      </c>
      <c r="S6" s="1">
        <v>91.9</v>
      </c>
      <c r="T6" s="1" t="s">
        <v>3</v>
      </c>
      <c r="U6" s="1">
        <v>485.9</v>
      </c>
      <c r="V6" s="1" t="s">
        <v>3</v>
      </c>
    </row>
    <row r="7" ht="15" customHeight="1" spans="1:22">
      <c r="A7" s="1" t="s">
        <v>87</v>
      </c>
      <c r="B7" s="1" t="s">
        <v>56</v>
      </c>
      <c r="C7" s="1">
        <v>101</v>
      </c>
      <c r="D7" s="1" t="s">
        <v>2</v>
      </c>
      <c r="E7" s="1">
        <v>94</v>
      </c>
      <c r="F7" s="1" t="s">
        <v>2</v>
      </c>
      <c r="G7" s="1">
        <v>73.5</v>
      </c>
      <c r="H7" s="1" t="s">
        <v>2</v>
      </c>
      <c r="I7" s="1">
        <v>52.5</v>
      </c>
      <c r="J7" s="1" t="s">
        <v>7</v>
      </c>
      <c r="K7" s="1">
        <v>39.5</v>
      </c>
      <c r="L7" s="1" t="s">
        <v>5</v>
      </c>
      <c r="M7" s="1">
        <v>22.5</v>
      </c>
      <c r="N7" s="1" t="s">
        <v>3</v>
      </c>
      <c r="O7" s="1">
        <v>46</v>
      </c>
      <c r="P7" s="1" t="s">
        <v>3</v>
      </c>
      <c r="Q7" s="1">
        <v>56</v>
      </c>
      <c r="R7" s="1" t="s">
        <v>5</v>
      </c>
      <c r="S7" s="1">
        <v>96</v>
      </c>
      <c r="T7" s="1" t="s">
        <v>2</v>
      </c>
      <c r="U7" s="1">
        <v>485</v>
      </c>
      <c r="V7" s="1" t="s">
        <v>3</v>
      </c>
    </row>
    <row r="8" ht="15" customHeight="1" spans="1:22">
      <c r="A8" s="1" t="s">
        <v>92</v>
      </c>
      <c r="B8" s="1" t="s">
        <v>56</v>
      </c>
      <c r="C8" s="1">
        <v>96.5</v>
      </c>
      <c r="D8" s="1" t="s">
        <v>3</v>
      </c>
      <c r="E8" s="1">
        <v>89</v>
      </c>
      <c r="F8" s="1" t="s">
        <v>3</v>
      </c>
      <c r="G8" s="1">
        <v>70</v>
      </c>
      <c r="H8" s="1" t="s">
        <v>3</v>
      </c>
      <c r="I8" s="1">
        <v>60</v>
      </c>
      <c r="J8" s="1" t="s">
        <v>3</v>
      </c>
      <c r="K8" s="1">
        <v>41</v>
      </c>
      <c r="L8" s="1" t="s">
        <v>5</v>
      </c>
      <c r="M8" s="1">
        <v>20.2</v>
      </c>
      <c r="N8" s="1" t="s">
        <v>5</v>
      </c>
      <c r="O8" s="1">
        <v>45</v>
      </c>
      <c r="P8" s="1" t="s">
        <v>3</v>
      </c>
      <c r="Q8" s="1">
        <v>59</v>
      </c>
      <c r="R8" s="1" t="s">
        <v>3</v>
      </c>
      <c r="S8" s="1">
        <v>90.2</v>
      </c>
      <c r="T8" s="1" t="s">
        <v>3</v>
      </c>
      <c r="U8" s="1">
        <v>480.7</v>
      </c>
      <c r="V8" s="1" t="s">
        <v>3</v>
      </c>
    </row>
    <row r="9" ht="15" customHeight="1" spans="1:22">
      <c r="A9" s="1" t="s">
        <v>97</v>
      </c>
      <c r="B9" s="1" t="s">
        <v>56</v>
      </c>
      <c r="C9" s="1">
        <v>96.5</v>
      </c>
      <c r="D9" s="1" t="s">
        <v>3</v>
      </c>
      <c r="E9" s="1">
        <v>84</v>
      </c>
      <c r="F9" s="1" t="s">
        <v>3</v>
      </c>
      <c r="G9" s="1">
        <v>70</v>
      </c>
      <c r="H9" s="1" t="s">
        <v>3</v>
      </c>
      <c r="I9" s="1">
        <v>57.5</v>
      </c>
      <c r="J9" s="1" t="s">
        <v>5</v>
      </c>
      <c r="K9" s="1">
        <v>39.5</v>
      </c>
      <c r="L9" s="1" t="s">
        <v>5</v>
      </c>
      <c r="M9" s="1">
        <v>23.7</v>
      </c>
      <c r="N9" s="1" t="s">
        <v>3</v>
      </c>
      <c r="O9" s="1">
        <v>46.5</v>
      </c>
      <c r="P9" s="1" t="s">
        <v>3</v>
      </c>
      <c r="Q9" s="1">
        <v>59</v>
      </c>
      <c r="R9" s="1" t="s">
        <v>3</v>
      </c>
      <c r="S9" s="1">
        <v>93.7</v>
      </c>
      <c r="T9" s="1" t="s">
        <v>3</v>
      </c>
      <c r="U9" s="1">
        <v>476.7</v>
      </c>
      <c r="V9" s="1" t="s">
        <v>3</v>
      </c>
    </row>
    <row r="10" ht="15" customHeight="1" spans="1:22">
      <c r="A10" s="1" t="s">
        <v>102</v>
      </c>
      <c r="B10" s="1" t="s">
        <v>56</v>
      </c>
      <c r="C10" s="1">
        <v>89.5</v>
      </c>
      <c r="D10" s="1" t="s">
        <v>5</v>
      </c>
      <c r="E10" s="1">
        <v>93</v>
      </c>
      <c r="F10" s="1" t="s">
        <v>2</v>
      </c>
      <c r="G10" s="1">
        <v>71.5</v>
      </c>
      <c r="H10" s="1" t="s">
        <v>2</v>
      </c>
      <c r="I10" s="1">
        <v>49</v>
      </c>
      <c r="J10" s="1" t="s">
        <v>7</v>
      </c>
      <c r="K10" s="1">
        <v>38.5</v>
      </c>
      <c r="L10" s="1" t="s">
        <v>5</v>
      </c>
      <c r="M10" s="1">
        <v>22.9</v>
      </c>
      <c r="N10" s="1" t="s">
        <v>3</v>
      </c>
      <c r="O10" s="1">
        <v>46</v>
      </c>
      <c r="P10" s="1" t="s">
        <v>3</v>
      </c>
      <c r="Q10" s="1">
        <v>62.5</v>
      </c>
      <c r="R10" s="1" t="s">
        <v>3</v>
      </c>
      <c r="S10" s="1">
        <v>94.4</v>
      </c>
      <c r="T10" s="1" t="s">
        <v>3</v>
      </c>
      <c r="U10" s="1">
        <v>472.9</v>
      </c>
      <c r="V10" s="1" t="s">
        <v>3</v>
      </c>
    </row>
    <row r="11" ht="15" customHeight="1" spans="1:22">
      <c r="A11" s="1" t="s">
        <v>107</v>
      </c>
      <c r="B11" s="1" t="s">
        <v>56</v>
      </c>
      <c r="C11" s="1">
        <v>91</v>
      </c>
      <c r="D11" s="1" t="s">
        <v>5</v>
      </c>
      <c r="E11" s="1">
        <v>84</v>
      </c>
      <c r="F11" s="1" t="s">
        <v>3</v>
      </c>
      <c r="G11" s="1">
        <v>66.5</v>
      </c>
      <c r="H11" s="1" t="s">
        <v>3</v>
      </c>
      <c r="I11" s="1">
        <v>65</v>
      </c>
      <c r="J11" s="1" t="s">
        <v>2</v>
      </c>
      <c r="K11" s="1">
        <v>42</v>
      </c>
      <c r="L11" s="1" t="s">
        <v>3</v>
      </c>
      <c r="M11" s="1">
        <v>20.9</v>
      </c>
      <c r="N11" s="1" t="s">
        <v>5</v>
      </c>
      <c r="O11" s="1">
        <v>43.5</v>
      </c>
      <c r="P11" s="1" t="s">
        <v>5</v>
      </c>
      <c r="Q11" s="1">
        <v>54.5</v>
      </c>
      <c r="R11" s="1" t="s">
        <v>5</v>
      </c>
      <c r="S11" s="1">
        <v>87.4</v>
      </c>
      <c r="T11" s="1" t="s">
        <v>3</v>
      </c>
      <c r="U11" s="1">
        <v>467.4</v>
      </c>
      <c r="V11" s="1" t="s">
        <v>3</v>
      </c>
    </row>
    <row r="12" ht="15" customHeight="1" spans="1:22">
      <c r="A12" s="1" t="s">
        <v>112</v>
      </c>
      <c r="B12" s="1" t="s">
        <v>56</v>
      </c>
      <c r="C12" s="1">
        <v>87</v>
      </c>
      <c r="D12" s="1" t="s">
        <v>5</v>
      </c>
      <c r="E12" s="1">
        <v>87</v>
      </c>
      <c r="F12" s="1" t="s">
        <v>3</v>
      </c>
      <c r="G12" s="1">
        <v>68</v>
      </c>
      <c r="H12" s="1" t="s">
        <v>3</v>
      </c>
      <c r="I12" s="1">
        <v>60</v>
      </c>
      <c r="J12" s="1" t="s">
        <v>3</v>
      </c>
      <c r="K12" s="1">
        <v>41.5</v>
      </c>
      <c r="L12" s="1" t="s">
        <v>3</v>
      </c>
      <c r="M12" s="1">
        <v>20.9</v>
      </c>
      <c r="N12" s="1" t="s">
        <v>5</v>
      </c>
      <c r="O12" s="1">
        <v>43</v>
      </c>
      <c r="P12" s="1" t="s">
        <v>5</v>
      </c>
      <c r="Q12" s="1">
        <v>58</v>
      </c>
      <c r="R12" s="1" t="s">
        <v>3</v>
      </c>
      <c r="S12" s="1">
        <v>88.9</v>
      </c>
      <c r="T12" s="1" t="s">
        <v>3</v>
      </c>
      <c r="U12" s="1">
        <v>465.4</v>
      </c>
      <c r="V12" s="1" t="s">
        <v>3</v>
      </c>
    </row>
    <row r="13" ht="15" customHeight="1" spans="1:22">
      <c r="A13" s="1" t="s">
        <v>117</v>
      </c>
      <c r="B13" s="1" t="s">
        <v>56</v>
      </c>
      <c r="C13" s="1">
        <v>95</v>
      </c>
      <c r="D13" s="1" t="s">
        <v>3</v>
      </c>
      <c r="E13" s="1">
        <v>79</v>
      </c>
      <c r="F13" s="1" t="s">
        <v>5</v>
      </c>
      <c r="G13" s="1">
        <v>68</v>
      </c>
      <c r="H13" s="1" t="s">
        <v>3</v>
      </c>
      <c r="I13" s="1">
        <v>64</v>
      </c>
      <c r="J13" s="1" t="s">
        <v>3</v>
      </c>
      <c r="K13" s="1">
        <v>39</v>
      </c>
      <c r="L13" s="1" t="s">
        <v>5</v>
      </c>
      <c r="M13" s="1">
        <v>21.9</v>
      </c>
      <c r="N13" s="1" t="s">
        <v>5</v>
      </c>
      <c r="O13" s="1">
        <v>42.5</v>
      </c>
      <c r="P13" s="1" t="s">
        <v>5</v>
      </c>
      <c r="Q13" s="1">
        <v>56</v>
      </c>
      <c r="R13" s="1" t="s">
        <v>5</v>
      </c>
      <c r="S13" s="1">
        <v>89.9</v>
      </c>
      <c r="T13" s="1" t="s">
        <v>3</v>
      </c>
      <c r="U13" s="1">
        <v>465.4</v>
      </c>
      <c r="V13" s="1" t="s">
        <v>3</v>
      </c>
    </row>
    <row r="14" ht="15" customHeight="1" spans="1:22">
      <c r="A14" s="1" t="s">
        <v>122</v>
      </c>
      <c r="B14" s="1" t="s">
        <v>56</v>
      </c>
      <c r="C14" s="1">
        <v>93</v>
      </c>
      <c r="D14" s="1" t="s">
        <v>3</v>
      </c>
      <c r="E14" s="1">
        <v>87</v>
      </c>
      <c r="F14" s="1" t="s">
        <v>3</v>
      </c>
      <c r="G14" s="1">
        <v>66.5</v>
      </c>
      <c r="H14" s="1" t="s">
        <v>3</v>
      </c>
      <c r="I14" s="1">
        <v>59</v>
      </c>
      <c r="J14" s="1" t="s">
        <v>5</v>
      </c>
      <c r="K14" s="1">
        <v>40</v>
      </c>
      <c r="L14" s="1" t="s">
        <v>5</v>
      </c>
      <c r="M14" s="1">
        <v>23.5</v>
      </c>
      <c r="N14" s="1" t="s">
        <v>3</v>
      </c>
      <c r="O14" s="1">
        <v>44</v>
      </c>
      <c r="P14" s="1" t="s">
        <v>5</v>
      </c>
      <c r="Q14" s="1">
        <v>52</v>
      </c>
      <c r="R14" s="1" t="s">
        <v>5</v>
      </c>
      <c r="S14" s="1">
        <v>90</v>
      </c>
      <c r="T14" s="1" t="s">
        <v>3</v>
      </c>
      <c r="U14" s="1">
        <v>465</v>
      </c>
      <c r="V14" s="1" t="s">
        <v>3</v>
      </c>
    </row>
    <row r="15" ht="15" customHeight="1" spans="1:22">
      <c r="A15" s="1" t="s">
        <v>127</v>
      </c>
      <c r="B15" s="1" t="s">
        <v>56</v>
      </c>
      <c r="C15" s="1">
        <v>89.5</v>
      </c>
      <c r="D15" s="1" t="s">
        <v>5</v>
      </c>
      <c r="E15" s="1">
        <v>82</v>
      </c>
      <c r="F15" s="1" t="s">
        <v>5</v>
      </c>
      <c r="G15" s="1">
        <v>67</v>
      </c>
      <c r="H15" s="1" t="s">
        <v>3</v>
      </c>
      <c r="I15" s="1">
        <v>58.5</v>
      </c>
      <c r="J15" s="1" t="s">
        <v>5</v>
      </c>
      <c r="K15" s="1">
        <v>42</v>
      </c>
      <c r="L15" s="1" t="s">
        <v>3</v>
      </c>
      <c r="M15" s="1">
        <v>23.1</v>
      </c>
      <c r="N15" s="1" t="s">
        <v>3</v>
      </c>
      <c r="O15" s="1">
        <v>43.5</v>
      </c>
      <c r="P15" s="1" t="s">
        <v>5</v>
      </c>
      <c r="Q15" s="1">
        <v>56</v>
      </c>
      <c r="R15" s="1" t="s">
        <v>5</v>
      </c>
      <c r="S15" s="1">
        <v>90.1</v>
      </c>
      <c r="T15" s="1" t="s">
        <v>3</v>
      </c>
      <c r="U15" s="1">
        <v>461.6</v>
      </c>
      <c r="V15" s="1" t="s">
        <v>3</v>
      </c>
    </row>
    <row r="16" ht="15" customHeight="1" spans="1:22">
      <c r="A16" s="1" t="s">
        <v>132</v>
      </c>
      <c r="B16" s="1" t="s">
        <v>56</v>
      </c>
      <c r="C16" s="1">
        <v>95.5</v>
      </c>
      <c r="D16" s="1" t="s">
        <v>3</v>
      </c>
      <c r="E16" s="1">
        <v>86</v>
      </c>
      <c r="F16" s="1" t="s">
        <v>3</v>
      </c>
      <c r="G16" s="1">
        <v>62</v>
      </c>
      <c r="H16" s="1" t="s">
        <v>5</v>
      </c>
      <c r="I16" s="1">
        <v>55.5</v>
      </c>
      <c r="J16" s="1" t="s">
        <v>5</v>
      </c>
      <c r="K16" s="1">
        <v>43</v>
      </c>
      <c r="L16" s="1" t="s">
        <v>3</v>
      </c>
      <c r="M16" s="1">
        <v>20.5</v>
      </c>
      <c r="N16" s="1" t="s">
        <v>5</v>
      </c>
      <c r="O16" s="1">
        <v>42.5</v>
      </c>
      <c r="P16" s="1" t="s">
        <v>5</v>
      </c>
      <c r="Q16" s="1">
        <v>55.5</v>
      </c>
      <c r="R16" s="1" t="s">
        <v>5</v>
      </c>
      <c r="S16" s="1">
        <v>82.5</v>
      </c>
      <c r="T16" s="1" t="s">
        <v>5</v>
      </c>
      <c r="U16" s="1">
        <v>460.5</v>
      </c>
      <c r="V16" s="1" t="s">
        <v>3</v>
      </c>
    </row>
    <row r="17" ht="15" customHeight="1" spans="1:22">
      <c r="A17" s="1" t="s">
        <v>137</v>
      </c>
      <c r="B17" s="1" t="s">
        <v>56</v>
      </c>
      <c r="C17" s="1">
        <v>88</v>
      </c>
      <c r="D17" s="1" t="s">
        <v>5</v>
      </c>
      <c r="E17" s="1">
        <v>88</v>
      </c>
      <c r="F17" s="1" t="s">
        <v>3</v>
      </c>
      <c r="G17" s="1">
        <v>68.5</v>
      </c>
      <c r="H17" s="1" t="s">
        <v>3</v>
      </c>
      <c r="I17" s="1">
        <v>56.5</v>
      </c>
      <c r="J17" s="1" t="s">
        <v>5</v>
      </c>
      <c r="K17" s="1">
        <v>39.5</v>
      </c>
      <c r="L17" s="1" t="s">
        <v>5</v>
      </c>
      <c r="M17" s="1">
        <v>21.9</v>
      </c>
      <c r="N17" s="1" t="s">
        <v>5</v>
      </c>
      <c r="O17" s="1">
        <v>42.5</v>
      </c>
      <c r="P17" s="1" t="s">
        <v>5</v>
      </c>
      <c r="Q17" s="1">
        <v>55.5</v>
      </c>
      <c r="R17" s="1" t="s">
        <v>5</v>
      </c>
      <c r="S17" s="1">
        <v>90.4</v>
      </c>
      <c r="T17" s="1" t="s">
        <v>3</v>
      </c>
      <c r="U17" s="1">
        <v>460.4</v>
      </c>
      <c r="V17" s="1" t="s">
        <v>3</v>
      </c>
    </row>
    <row r="18" ht="15" customHeight="1" spans="1:22">
      <c r="A18" s="1" t="s">
        <v>142</v>
      </c>
      <c r="B18" s="1" t="s">
        <v>56</v>
      </c>
      <c r="C18" s="1">
        <v>96.5</v>
      </c>
      <c r="D18" s="1" t="s">
        <v>3</v>
      </c>
      <c r="E18" s="1">
        <v>83</v>
      </c>
      <c r="F18" s="1" t="s">
        <v>3</v>
      </c>
      <c r="G18" s="1">
        <v>68.5</v>
      </c>
      <c r="H18" s="1" t="s">
        <v>3</v>
      </c>
      <c r="I18" s="1">
        <v>60</v>
      </c>
      <c r="J18" s="1" t="s">
        <v>3</v>
      </c>
      <c r="K18" s="1">
        <v>36</v>
      </c>
      <c r="L18" s="1" t="s">
        <v>7</v>
      </c>
      <c r="M18" s="1">
        <v>22.9</v>
      </c>
      <c r="N18" s="1" t="s">
        <v>3</v>
      </c>
      <c r="O18" s="1">
        <v>43.5</v>
      </c>
      <c r="P18" s="1" t="s">
        <v>5</v>
      </c>
      <c r="Q18" s="1">
        <v>49</v>
      </c>
      <c r="R18" s="1" t="s">
        <v>5</v>
      </c>
      <c r="S18" s="1">
        <v>91.4</v>
      </c>
      <c r="T18" s="1" t="s">
        <v>3</v>
      </c>
      <c r="U18" s="1">
        <v>459.4</v>
      </c>
      <c r="V18" s="1" t="s">
        <v>3</v>
      </c>
    </row>
    <row r="19" ht="15" customHeight="1" spans="1:22">
      <c r="A19" s="1" t="s">
        <v>147</v>
      </c>
      <c r="B19" s="1" t="s">
        <v>56</v>
      </c>
      <c r="C19" s="1">
        <v>95.5</v>
      </c>
      <c r="D19" s="1" t="s">
        <v>3</v>
      </c>
      <c r="E19" s="1">
        <v>81</v>
      </c>
      <c r="F19" s="1" t="s">
        <v>5</v>
      </c>
      <c r="G19" s="1">
        <v>70.5</v>
      </c>
      <c r="H19" s="1" t="s">
        <v>3</v>
      </c>
      <c r="I19" s="1">
        <v>56.5</v>
      </c>
      <c r="J19" s="1" t="s">
        <v>5</v>
      </c>
      <c r="K19" s="1">
        <v>42.5</v>
      </c>
      <c r="L19" s="1" t="s">
        <v>3</v>
      </c>
      <c r="M19" s="1">
        <v>23.3</v>
      </c>
      <c r="N19" s="1" t="s">
        <v>3</v>
      </c>
      <c r="O19" s="1">
        <v>42.5</v>
      </c>
      <c r="P19" s="1" t="s">
        <v>5</v>
      </c>
      <c r="Q19" s="1">
        <v>47.5</v>
      </c>
      <c r="R19" s="1" t="s">
        <v>5</v>
      </c>
      <c r="S19" s="1">
        <v>93.8</v>
      </c>
      <c r="T19" s="1" t="s">
        <v>3</v>
      </c>
      <c r="U19" s="1">
        <v>459.3</v>
      </c>
      <c r="V19" s="1" t="s">
        <v>3</v>
      </c>
    </row>
    <row r="20" ht="15" customHeight="1" spans="1:22">
      <c r="A20" s="1" t="s">
        <v>152</v>
      </c>
      <c r="B20" s="1" t="s">
        <v>56</v>
      </c>
      <c r="C20" s="1">
        <v>98</v>
      </c>
      <c r="D20" s="1" t="s">
        <v>3</v>
      </c>
      <c r="E20" s="1">
        <v>79</v>
      </c>
      <c r="F20" s="1" t="s">
        <v>5</v>
      </c>
      <c r="G20" s="1">
        <v>66.5</v>
      </c>
      <c r="H20" s="1" t="s">
        <v>3</v>
      </c>
      <c r="I20" s="1">
        <v>59</v>
      </c>
      <c r="J20" s="1" t="s">
        <v>5</v>
      </c>
      <c r="K20" s="1">
        <v>45.5</v>
      </c>
      <c r="L20" s="1" t="s">
        <v>2</v>
      </c>
      <c r="M20" s="1">
        <v>20.6</v>
      </c>
      <c r="N20" s="1" t="s">
        <v>5</v>
      </c>
      <c r="O20" s="1">
        <v>39</v>
      </c>
      <c r="P20" s="1" t="s">
        <v>5</v>
      </c>
      <c r="Q20" s="1">
        <v>47.5</v>
      </c>
      <c r="R20" s="1" t="s">
        <v>5</v>
      </c>
      <c r="S20" s="1">
        <v>87.1</v>
      </c>
      <c r="T20" s="1" t="s">
        <v>3</v>
      </c>
      <c r="U20" s="1">
        <v>455.1</v>
      </c>
      <c r="V20" s="1" t="s">
        <v>5</v>
      </c>
    </row>
    <row r="21" ht="15" customHeight="1" spans="1:22">
      <c r="A21" s="1" t="s">
        <v>157</v>
      </c>
      <c r="B21" s="1" t="s">
        <v>56</v>
      </c>
      <c r="C21" s="1">
        <v>100</v>
      </c>
      <c r="D21" s="1" t="s">
        <v>3</v>
      </c>
      <c r="E21" s="1">
        <v>89</v>
      </c>
      <c r="F21" s="1" t="s">
        <v>3</v>
      </c>
      <c r="G21" s="1">
        <v>63</v>
      </c>
      <c r="H21" s="1" t="s">
        <v>5</v>
      </c>
      <c r="I21" s="1">
        <v>58.5</v>
      </c>
      <c r="J21" s="1" t="s">
        <v>5</v>
      </c>
      <c r="K21" s="1">
        <v>37</v>
      </c>
      <c r="L21" s="1" t="s">
        <v>7</v>
      </c>
      <c r="M21" s="1">
        <v>22.7</v>
      </c>
      <c r="N21" s="1" t="s">
        <v>3</v>
      </c>
      <c r="O21" s="1">
        <v>37.5</v>
      </c>
      <c r="P21" s="1" t="s">
        <v>5</v>
      </c>
      <c r="Q21" s="1">
        <v>39</v>
      </c>
      <c r="R21" s="1" t="s">
        <v>7</v>
      </c>
      <c r="S21" s="1">
        <v>85.7</v>
      </c>
      <c r="T21" s="1" t="s">
        <v>3</v>
      </c>
      <c r="U21" s="1">
        <v>446.7</v>
      </c>
      <c r="V21" s="1" t="s">
        <v>5</v>
      </c>
    </row>
    <row r="22" ht="15" customHeight="1" spans="1:22">
      <c r="A22" s="1" t="s">
        <v>162</v>
      </c>
      <c r="B22" s="1" t="s">
        <v>56</v>
      </c>
      <c r="C22" s="1">
        <v>90</v>
      </c>
      <c r="D22" s="1" t="s">
        <v>5</v>
      </c>
      <c r="E22" s="1">
        <v>78</v>
      </c>
      <c r="F22" s="1" t="s">
        <v>5</v>
      </c>
      <c r="G22" s="1">
        <v>66.5</v>
      </c>
      <c r="H22" s="1" t="s">
        <v>3</v>
      </c>
      <c r="I22" s="1">
        <v>56.5</v>
      </c>
      <c r="J22" s="1" t="s">
        <v>5</v>
      </c>
      <c r="K22" s="1">
        <v>38</v>
      </c>
      <c r="L22" s="1" t="s">
        <v>5</v>
      </c>
      <c r="M22" s="1">
        <v>22.9</v>
      </c>
      <c r="N22" s="1" t="s">
        <v>3</v>
      </c>
      <c r="O22" s="1">
        <v>41.5</v>
      </c>
      <c r="P22" s="1" t="s">
        <v>5</v>
      </c>
      <c r="Q22" s="1">
        <v>53</v>
      </c>
      <c r="R22" s="1" t="s">
        <v>5</v>
      </c>
      <c r="S22" s="1">
        <v>89.4</v>
      </c>
      <c r="T22" s="1" t="s">
        <v>3</v>
      </c>
      <c r="U22" s="1">
        <v>446.4</v>
      </c>
      <c r="V22" s="1" t="s">
        <v>5</v>
      </c>
    </row>
    <row r="23" ht="15" customHeight="1" spans="1:22">
      <c r="A23" s="1" t="s">
        <v>167</v>
      </c>
      <c r="B23" s="1" t="s">
        <v>56</v>
      </c>
      <c r="C23" s="1">
        <v>98</v>
      </c>
      <c r="D23" s="1" t="s">
        <v>3</v>
      </c>
      <c r="E23" s="1">
        <v>75</v>
      </c>
      <c r="F23" s="1" t="s">
        <v>5</v>
      </c>
      <c r="G23" s="1">
        <v>72.5</v>
      </c>
      <c r="H23" s="1" t="s">
        <v>2</v>
      </c>
      <c r="I23" s="1">
        <v>54.5</v>
      </c>
      <c r="J23" s="1" t="s">
        <v>5</v>
      </c>
      <c r="K23" s="1">
        <v>39.5</v>
      </c>
      <c r="L23" s="1" t="s">
        <v>5</v>
      </c>
      <c r="M23" s="1">
        <v>23.7</v>
      </c>
      <c r="N23" s="1" t="s">
        <v>3</v>
      </c>
      <c r="O23" s="1">
        <v>39.5</v>
      </c>
      <c r="P23" s="1" t="s">
        <v>5</v>
      </c>
      <c r="Q23" s="1">
        <v>38.5</v>
      </c>
      <c r="R23" s="1" t="s">
        <v>7</v>
      </c>
      <c r="S23" s="1">
        <v>96.2</v>
      </c>
      <c r="T23" s="1" t="s">
        <v>2</v>
      </c>
      <c r="U23" s="1">
        <v>441.2</v>
      </c>
      <c r="V23" s="1" t="s">
        <v>5</v>
      </c>
    </row>
    <row r="24" ht="15" customHeight="1" spans="1:22">
      <c r="A24" s="1" t="s">
        <v>172</v>
      </c>
      <c r="B24" s="1" t="s">
        <v>56</v>
      </c>
      <c r="C24" s="1">
        <v>89</v>
      </c>
      <c r="D24" s="1" t="s">
        <v>5</v>
      </c>
      <c r="E24" s="1">
        <v>77</v>
      </c>
      <c r="F24" s="1" t="s">
        <v>5</v>
      </c>
      <c r="G24" s="1">
        <v>61.5</v>
      </c>
      <c r="H24" s="1" t="s">
        <v>5</v>
      </c>
      <c r="I24" s="1">
        <v>57</v>
      </c>
      <c r="J24" s="1" t="s">
        <v>5</v>
      </c>
      <c r="K24" s="1">
        <v>44.5</v>
      </c>
      <c r="L24" s="1" t="s">
        <v>3</v>
      </c>
      <c r="M24" s="1">
        <v>19.9</v>
      </c>
      <c r="N24" s="1" t="s">
        <v>5</v>
      </c>
      <c r="O24" s="1">
        <v>38</v>
      </c>
      <c r="P24" s="1" t="s">
        <v>5</v>
      </c>
      <c r="Q24" s="1">
        <v>51</v>
      </c>
      <c r="R24" s="1" t="s">
        <v>5</v>
      </c>
      <c r="S24" s="1">
        <v>81.4</v>
      </c>
      <c r="T24" s="1" t="s">
        <v>5</v>
      </c>
      <c r="U24" s="1">
        <v>437.9</v>
      </c>
      <c r="V24" s="1" t="s">
        <v>5</v>
      </c>
    </row>
    <row r="25" ht="15" customHeight="1" spans="1:22">
      <c r="A25" s="1" t="s">
        <v>177</v>
      </c>
      <c r="B25" s="1" t="s">
        <v>56</v>
      </c>
      <c r="C25" s="1">
        <v>80</v>
      </c>
      <c r="D25" s="1" t="s">
        <v>7</v>
      </c>
      <c r="E25" s="1">
        <v>79</v>
      </c>
      <c r="F25" s="1" t="s">
        <v>5</v>
      </c>
      <c r="G25" s="1">
        <v>65.5</v>
      </c>
      <c r="H25" s="1" t="s">
        <v>3</v>
      </c>
      <c r="I25" s="1">
        <v>57</v>
      </c>
      <c r="J25" s="1" t="s">
        <v>5</v>
      </c>
      <c r="K25" s="1">
        <v>39</v>
      </c>
      <c r="L25" s="1" t="s">
        <v>5</v>
      </c>
      <c r="M25" s="1">
        <v>21.7</v>
      </c>
      <c r="N25" s="1" t="s">
        <v>5</v>
      </c>
      <c r="O25" s="1">
        <v>36.5</v>
      </c>
      <c r="P25" s="1" t="s">
        <v>7</v>
      </c>
      <c r="Q25" s="1">
        <v>55.5</v>
      </c>
      <c r="R25" s="1" t="s">
        <v>5</v>
      </c>
      <c r="S25" s="1">
        <v>87.2</v>
      </c>
      <c r="T25" s="1" t="s">
        <v>3</v>
      </c>
      <c r="U25" s="1">
        <v>434.2</v>
      </c>
      <c r="V25" s="1" t="s">
        <v>5</v>
      </c>
    </row>
    <row r="26" ht="15" customHeight="1" spans="1:22">
      <c r="A26" s="1" t="s">
        <v>182</v>
      </c>
      <c r="B26" s="1" t="s">
        <v>56</v>
      </c>
      <c r="C26" s="1">
        <v>83</v>
      </c>
      <c r="D26" s="1" t="s">
        <v>7</v>
      </c>
      <c r="E26" s="1">
        <v>82</v>
      </c>
      <c r="F26" s="1" t="s">
        <v>5</v>
      </c>
      <c r="G26" s="1">
        <v>63</v>
      </c>
      <c r="H26" s="1" t="s">
        <v>5</v>
      </c>
      <c r="I26" s="1">
        <v>60</v>
      </c>
      <c r="J26" s="1" t="s">
        <v>3</v>
      </c>
      <c r="K26" s="1">
        <v>30.5</v>
      </c>
      <c r="L26" s="1" t="s">
        <v>9</v>
      </c>
      <c r="M26" s="1">
        <v>21.2</v>
      </c>
      <c r="N26" s="1" t="s">
        <v>5</v>
      </c>
      <c r="O26" s="1">
        <v>38.5</v>
      </c>
      <c r="P26" s="1" t="s">
        <v>5</v>
      </c>
      <c r="Q26" s="1">
        <v>52.5</v>
      </c>
      <c r="R26" s="1" t="s">
        <v>5</v>
      </c>
      <c r="S26" s="1">
        <v>84.2</v>
      </c>
      <c r="T26" s="1" t="s">
        <v>5</v>
      </c>
      <c r="U26" s="1">
        <v>430.7</v>
      </c>
      <c r="V26" s="1" t="s">
        <v>5</v>
      </c>
    </row>
    <row r="27" ht="15" customHeight="1" spans="1:22">
      <c r="A27" s="1" t="s">
        <v>187</v>
      </c>
      <c r="B27" s="1" t="s">
        <v>56</v>
      </c>
      <c r="C27" s="1">
        <v>94.5</v>
      </c>
      <c r="D27" s="1" t="s">
        <v>3</v>
      </c>
      <c r="E27" s="1">
        <v>81</v>
      </c>
      <c r="F27" s="1" t="s">
        <v>5</v>
      </c>
      <c r="G27" s="1">
        <v>51.5</v>
      </c>
      <c r="H27" s="1" t="s">
        <v>5</v>
      </c>
      <c r="I27" s="1">
        <v>59.5</v>
      </c>
      <c r="J27" s="1" t="s">
        <v>3</v>
      </c>
      <c r="K27" s="1">
        <v>37.5</v>
      </c>
      <c r="L27" s="1" t="s">
        <v>5</v>
      </c>
      <c r="M27" s="1">
        <v>19.3</v>
      </c>
      <c r="N27" s="1" t="s">
        <v>5</v>
      </c>
      <c r="O27" s="1">
        <v>42.5</v>
      </c>
      <c r="P27" s="1" t="s">
        <v>5</v>
      </c>
      <c r="Q27" s="1">
        <v>44.5</v>
      </c>
      <c r="R27" s="1" t="s">
        <v>7</v>
      </c>
      <c r="S27" s="1">
        <v>70.8</v>
      </c>
      <c r="T27" s="1" t="s">
        <v>5</v>
      </c>
      <c r="U27" s="1">
        <v>430.3</v>
      </c>
      <c r="V27" s="1" t="s">
        <v>5</v>
      </c>
    </row>
    <row r="28" ht="15" customHeight="1" spans="1:22">
      <c r="A28" s="1" t="s">
        <v>192</v>
      </c>
      <c r="B28" s="1" t="s">
        <v>56</v>
      </c>
      <c r="C28" s="1">
        <v>84.5</v>
      </c>
      <c r="D28" s="1" t="s">
        <v>5</v>
      </c>
      <c r="E28" s="1">
        <v>77</v>
      </c>
      <c r="F28" s="1" t="s">
        <v>5</v>
      </c>
      <c r="G28" s="1">
        <v>61</v>
      </c>
      <c r="H28" s="1" t="s">
        <v>5</v>
      </c>
      <c r="I28" s="1">
        <v>55</v>
      </c>
      <c r="J28" s="1" t="s">
        <v>5</v>
      </c>
      <c r="K28" s="1">
        <v>40.5</v>
      </c>
      <c r="L28" s="1" t="s">
        <v>5</v>
      </c>
      <c r="M28" s="1">
        <v>23</v>
      </c>
      <c r="N28" s="1" t="s">
        <v>3</v>
      </c>
      <c r="O28" s="1">
        <v>26.5</v>
      </c>
      <c r="P28" s="1" t="s">
        <v>7</v>
      </c>
      <c r="Q28" s="1">
        <v>45.5</v>
      </c>
      <c r="R28" s="1" t="s">
        <v>7</v>
      </c>
      <c r="S28" s="1">
        <v>84</v>
      </c>
      <c r="T28" s="1" t="s">
        <v>5</v>
      </c>
      <c r="U28" s="1">
        <v>413</v>
      </c>
      <c r="V28" s="1" t="s">
        <v>5</v>
      </c>
    </row>
    <row r="29" ht="15" customHeight="1" spans="1:22">
      <c r="A29" s="1" t="s">
        <v>197</v>
      </c>
      <c r="B29" s="1" t="s">
        <v>56</v>
      </c>
      <c r="C29" s="1">
        <v>89.5</v>
      </c>
      <c r="D29" s="1" t="s">
        <v>5</v>
      </c>
      <c r="E29" s="1">
        <v>78</v>
      </c>
      <c r="F29" s="1" t="s">
        <v>5</v>
      </c>
      <c r="G29" s="1">
        <v>47.5</v>
      </c>
      <c r="H29" s="1" t="s">
        <v>7</v>
      </c>
      <c r="I29" s="1">
        <v>53</v>
      </c>
      <c r="J29" s="1" t="s">
        <v>7</v>
      </c>
      <c r="K29" s="1">
        <v>36</v>
      </c>
      <c r="L29" s="1" t="s">
        <v>7</v>
      </c>
      <c r="M29" s="1">
        <v>19.4</v>
      </c>
      <c r="N29" s="1" t="s">
        <v>5</v>
      </c>
      <c r="O29" s="1">
        <v>43</v>
      </c>
      <c r="P29" s="1" t="s">
        <v>5</v>
      </c>
      <c r="Q29" s="1">
        <v>43</v>
      </c>
      <c r="R29" s="1" t="s">
        <v>7</v>
      </c>
      <c r="S29" s="1">
        <v>66.9</v>
      </c>
      <c r="T29" s="1" t="s">
        <v>5</v>
      </c>
      <c r="U29" s="1">
        <v>409.4</v>
      </c>
      <c r="V29" s="1" t="s">
        <v>5</v>
      </c>
    </row>
    <row r="30" ht="15" customHeight="1" spans="1:22">
      <c r="A30" s="1" t="s">
        <v>202</v>
      </c>
      <c r="B30" s="1" t="s">
        <v>56</v>
      </c>
      <c r="C30" s="1">
        <v>81</v>
      </c>
      <c r="D30" s="1" t="s">
        <v>7</v>
      </c>
      <c r="E30" s="1">
        <v>80</v>
      </c>
      <c r="F30" s="1" t="s">
        <v>5</v>
      </c>
      <c r="G30" s="1">
        <v>57</v>
      </c>
      <c r="H30" s="1" t="s">
        <v>5</v>
      </c>
      <c r="I30" s="1">
        <v>50</v>
      </c>
      <c r="J30" s="1" t="s">
        <v>7</v>
      </c>
      <c r="K30" s="1">
        <v>35</v>
      </c>
      <c r="L30" s="1" t="s">
        <v>7</v>
      </c>
      <c r="M30" s="1">
        <v>13.3</v>
      </c>
      <c r="N30" s="1" t="s">
        <v>7</v>
      </c>
      <c r="O30" s="1">
        <v>41</v>
      </c>
      <c r="P30" s="1" t="s">
        <v>5</v>
      </c>
      <c r="Q30" s="1">
        <v>50.5</v>
      </c>
      <c r="R30" s="1" t="s">
        <v>5</v>
      </c>
      <c r="S30" s="1">
        <v>70.3</v>
      </c>
      <c r="T30" s="1" t="s">
        <v>5</v>
      </c>
      <c r="U30" s="1">
        <v>407.8</v>
      </c>
      <c r="V30" s="1" t="s">
        <v>5</v>
      </c>
    </row>
    <row r="31" ht="15" customHeight="1" spans="1:22">
      <c r="A31" s="1" t="s">
        <v>207</v>
      </c>
      <c r="B31" s="1" t="s">
        <v>56</v>
      </c>
      <c r="C31" s="1">
        <v>89</v>
      </c>
      <c r="D31" s="1" t="s">
        <v>5</v>
      </c>
      <c r="E31" s="1">
        <v>80</v>
      </c>
      <c r="F31" s="1" t="s">
        <v>5</v>
      </c>
      <c r="G31" s="1">
        <v>50.5</v>
      </c>
      <c r="H31" s="1" t="s">
        <v>5</v>
      </c>
      <c r="I31" s="1">
        <v>54</v>
      </c>
      <c r="J31" s="1" t="s">
        <v>5</v>
      </c>
      <c r="K31" s="1">
        <v>38</v>
      </c>
      <c r="L31" s="1" t="s">
        <v>5</v>
      </c>
      <c r="M31" s="1">
        <v>17.5</v>
      </c>
      <c r="N31" s="1" t="s">
        <v>7</v>
      </c>
      <c r="O31" s="1">
        <v>30</v>
      </c>
      <c r="P31" s="1" t="s">
        <v>7</v>
      </c>
      <c r="Q31" s="1">
        <v>42</v>
      </c>
      <c r="R31" s="1" t="s">
        <v>7</v>
      </c>
      <c r="S31" s="1">
        <v>68</v>
      </c>
      <c r="T31" s="1" t="s">
        <v>5</v>
      </c>
      <c r="U31" s="1">
        <v>401</v>
      </c>
      <c r="V31" s="1" t="s">
        <v>7</v>
      </c>
    </row>
    <row r="32" ht="15" customHeight="1" spans="1:22">
      <c r="A32" s="1" t="s">
        <v>212</v>
      </c>
      <c r="B32" s="1" t="s">
        <v>56</v>
      </c>
      <c r="C32" s="1">
        <v>79</v>
      </c>
      <c r="D32" s="1" t="s">
        <v>7</v>
      </c>
      <c r="E32" s="1">
        <v>74</v>
      </c>
      <c r="F32" s="1" t="s">
        <v>7</v>
      </c>
      <c r="G32" s="1">
        <v>66</v>
      </c>
      <c r="H32" s="1" t="s">
        <v>3</v>
      </c>
      <c r="I32" s="1">
        <v>50</v>
      </c>
      <c r="J32" s="1" t="s">
        <v>7</v>
      </c>
      <c r="K32" s="1">
        <v>36</v>
      </c>
      <c r="L32" s="1" t="s">
        <v>7</v>
      </c>
      <c r="M32" s="1">
        <v>21.8</v>
      </c>
      <c r="N32" s="1" t="s">
        <v>5</v>
      </c>
      <c r="O32" s="1">
        <v>32.5</v>
      </c>
      <c r="P32" s="1" t="s">
        <v>7</v>
      </c>
      <c r="Q32" s="1">
        <v>40.5</v>
      </c>
      <c r="R32" s="1" t="s">
        <v>7</v>
      </c>
      <c r="S32" s="1">
        <v>87.8</v>
      </c>
      <c r="T32" s="1" t="s">
        <v>3</v>
      </c>
      <c r="U32" s="1">
        <v>399.8</v>
      </c>
      <c r="V32" s="1" t="s">
        <v>7</v>
      </c>
    </row>
    <row r="33" ht="15" customHeight="1" spans="1:22">
      <c r="A33" s="1" t="s">
        <v>217</v>
      </c>
      <c r="B33" s="1" t="s">
        <v>56</v>
      </c>
      <c r="C33" s="1">
        <v>86.5</v>
      </c>
      <c r="D33" s="1" t="s">
        <v>5</v>
      </c>
      <c r="E33" s="1">
        <v>70</v>
      </c>
      <c r="F33" s="1" t="s">
        <v>7</v>
      </c>
      <c r="G33" s="1">
        <v>59</v>
      </c>
      <c r="H33" s="1" t="s">
        <v>5</v>
      </c>
      <c r="I33" s="1">
        <v>56</v>
      </c>
      <c r="J33" s="1" t="s">
        <v>5</v>
      </c>
      <c r="K33" s="1">
        <v>40</v>
      </c>
      <c r="L33" s="1" t="s">
        <v>5</v>
      </c>
      <c r="M33" s="1">
        <v>19.3</v>
      </c>
      <c r="N33" s="1" t="s">
        <v>5</v>
      </c>
      <c r="O33" s="1">
        <v>32.5</v>
      </c>
      <c r="P33" s="1" t="s">
        <v>7</v>
      </c>
      <c r="Q33" s="1">
        <v>33</v>
      </c>
      <c r="R33" s="1" t="s">
        <v>7</v>
      </c>
      <c r="S33" s="1">
        <v>78.3</v>
      </c>
      <c r="T33" s="1" t="s">
        <v>5</v>
      </c>
      <c r="U33" s="1">
        <v>396.3</v>
      </c>
      <c r="V33" s="1" t="s">
        <v>7</v>
      </c>
    </row>
    <row r="34" ht="15" customHeight="1" spans="1:22">
      <c r="A34" s="1" t="s">
        <v>222</v>
      </c>
      <c r="B34" s="1" t="s">
        <v>56</v>
      </c>
      <c r="C34" s="1">
        <v>92</v>
      </c>
      <c r="D34" s="1" t="s">
        <v>5</v>
      </c>
      <c r="E34" s="1">
        <v>66</v>
      </c>
      <c r="F34" s="1" t="s">
        <v>7</v>
      </c>
      <c r="G34" s="1">
        <v>67.5</v>
      </c>
      <c r="H34" s="1" t="s">
        <v>3</v>
      </c>
      <c r="I34" s="1">
        <v>47.5</v>
      </c>
      <c r="J34" s="1" t="s">
        <v>7</v>
      </c>
      <c r="K34" s="1">
        <v>39.5</v>
      </c>
      <c r="L34" s="1" t="s">
        <v>5</v>
      </c>
      <c r="M34" s="1">
        <v>21.7</v>
      </c>
      <c r="N34" s="1" t="s">
        <v>5</v>
      </c>
      <c r="O34" s="1">
        <v>28</v>
      </c>
      <c r="P34" s="1" t="s">
        <v>7</v>
      </c>
      <c r="Q34" s="1">
        <v>32</v>
      </c>
      <c r="R34" s="1" t="s">
        <v>7</v>
      </c>
      <c r="S34" s="1">
        <v>89.2</v>
      </c>
      <c r="T34" s="1" t="s">
        <v>3</v>
      </c>
      <c r="U34" s="1">
        <v>394.2</v>
      </c>
      <c r="V34" s="1" t="s">
        <v>7</v>
      </c>
    </row>
    <row r="35" ht="15" customHeight="1" spans="1:22">
      <c r="A35" s="1" t="s">
        <v>227</v>
      </c>
      <c r="B35" s="1" t="s">
        <v>56</v>
      </c>
      <c r="C35" s="1">
        <v>87.5</v>
      </c>
      <c r="D35" s="1" t="s">
        <v>5</v>
      </c>
      <c r="E35" s="1">
        <v>79</v>
      </c>
      <c r="F35" s="1" t="s">
        <v>5</v>
      </c>
      <c r="G35" s="1">
        <v>50.5</v>
      </c>
      <c r="H35" s="1" t="s">
        <v>5</v>
      </c>
      <c r="I35" s="1">
        <v>54</v>
      </c>
      <c r="J35" s="1" t="s">
        <v>5</v>
      </c>
      <c r="K35" s="1">
        <v>39.5</v>
      </c>
      <c r="L35" s="1" t="s">
        <v>5</v>
      </c>
      <c r="M35" s="1">
        <v>16.8</v>
      </c>
      <c r="N35" s="1" t="s">
        <v>7</v>
      </c>
      <c r="O35" s="1">
        <v>21</v>
      </c>
      <c r="P35" s="1" t="s">
        <v>9</v>
      </c>
      <c r="Q35" s="1">
        <v>38.5</v>
      </c>
      <c r="R35" s="1" t="s">
        <v>7</v>
      </c>
      <c r="S35" s="1">
        <v>67.3</v>
      </c>
      <c r="T35" s="1" t="s">
        <v>5</v>
      </c>
      <c r="U35" s="1">
        <v>386.8</v>
      </c>
      <c r="V35" s="1" t="s">
        <v>7</v>
      </c>
    </row>
    <row r="36" ht="15" customHeight="1" spans="1:22">
      <c r="A36" s="1" t="s">
        <v>232</v>
      </c>
      <c r="B36" s="1" t="s">
        <v>56</v>
      </c>
      <c r="C36" s="1">
        <v>73.5</v>
      </c>
      <c r="D36" s="1" t="s">
        <v>9</v>
      </c>
      <c r="E36" s="1">
        <v>77</v>
      </c>
      <c r="F36" s="1" t="s">
        <v>5</v>
      </c>
      <c r="G36" s="1">
        <v>56</v>
      </c>
      <c r="H36" s="1" t="s">
        <v>5</v>
      </c>
      <c r="I36" s="1">
        <v>44</v>
      </c>
      <c r="J36" s="1" t="s">
        <v>9</v>
      </c>
      <c r="K36" s="1">
        <v>38</v>
      </c>
      <c r="L36" s="1" t="s">
        <v>5</v>
      </c>
      <c r="M36" s="1">
        <v>19.4</v>
      </c>
      <c r="N36" s="1" t="s">
        <v>5</v>
      </c>
      <c r="O36" s="1">
        <v>35.5</v>
      </c>
      <c r="P36" s="1" t="s">
        <v>7</v>
      </c>
      <c r="Q36" s="1">
        <v>42.5</v>
      </c>
      <c r="R36" s="1" t="s">
        <v>7</v>
      </c>
      <c r="S36" s="1">
        <v>75.4</v>
      </c>
      <c r="T36" s="1" t="s">
        <v>5</v>
      </c>
      <c r="U36" s="1">
        <v>385.9</v>
      </c>
      <c r="V36" s="1" t="s">
        <v>7</v>
      </c>
    </row>
    <row r="37" ht="15" customHeight="1" spans="1:22">
      <c r="A37" s="1" t="s">
        <v>237</v>
      </c>
      <c r="B37" s="1" t="s">
        <v>56</v>
      </c>
      <c r="C37" s="1">
        <v>75.5</v>
      </c>
      <c r="D37" s="1" t="s">
        <v>7</v>
      </c>
      <c r="E37" s="1">
        <v>74</v>
      </c>
      <c r="F37" s="1" t="s">
        <v>7</v>
      </c>
      <c r="G37" s="1">
        <v>40</v>
      </c>
      <c r="H37" s="1" t="s">
        <v>7</v>
      </c>
      <c r="I37" s="1">
        <v>51.5</v>
      </c>
      <c r="J37" s="1" t="s">
        <v>7</v>
      </c>
      <c r="K37" s="1">
        <v>34</v>
      </c>
      <c r="L37" s="1" t="s">
        <v>7</v>
      </c>
      <c r="M37" s="1">
        <v>16.3</v>
      </c>
      <c r="N37" s="1" t="s">
        <v>7</v>
      </c>
      <c r="O37" s="1">
        <v>32.5</v>
      </c>
      <c r="P37" s="1" t="s">
        <v>7</v>
      </c>
      <c r="Q37" s="1">
        <v>46.5</v>
      </c>
      <c r="R37" s="1" t="s">
        <v>5</v>
      </c>
      <c r="S37" s="1">
        <v>56.3</v>
      </c>
      <c r="T37" s="1" t="s">
        <v>7</v>
      </c>
      <c r="U37" s="1">
        <v>370.3</v>
      </c>
      <c r="V37" s="1" t="s">
        <v>7</v>
      </c>
    </row>
    <row r="38" ht="15" customHeight="1" spans="1:22">
      <c r="A38" s="1" t="s">
        <v>242</v>
      </c>
      <c r="B38" s="1" t="s">
        <v>56</v>
      </c>
      <c r="C38" s="1">
        <v>62</v>
      </c>
      <c r="D38" s="1" t="s">
        <v>9</v>
      </c>
      <c r="E38" s="1">
        <v>75</v>
      </c>
      <c r="F38" s="1" t="s">
        <v>5</v>
      </c>
      <c r="G38" s="1">
        <v>42</v>
      </c>
      <c r="H38" s="1" t="s">
        <v>7</v>
      </c>
      <c r="I38" s="1">
        <v>46</v>
      </c>
      <c r="J38" s="1" t="s">
        <v>7</v>
      </c>
      <c r="K38" s="1">
        <v>34</v>
      </c>
      <c r="L38" s="1" t="s">
        <v>7</v>
      </c>
      <c r="M38" s="1">
        <v>17.5</v>
      </c>
      <c r="N38" s="1" t="s">
        <v>7</v>
      </c>
      <c r="O38" s="1">
        <v>31</v>
      </c>
      <c r="P38" s="1" t="s">
        <v>7</v>
      </c>
      <c r="Q38" s="1">
        <v>35.5</v>
      </c>
      <c r="R38" s="1" t="s">
        <v>7</v>
      </c>
      <c r="S38" s="1">
        <v>59.5</v>
      </c>
      <c r="T38" s="1" t="s">
        <v>7</v>
      </c>
      <c r="U38" s="1">
        <v>343</v>
      </c>
      <c r="V38" s="1" t="s">
        <v>7</v>
      </c>
    </row>
    <row r="39" ht="15" customHeight="1" spans="1:22">
      <c r="A39" s="1" t="s">
        <v>247</v>
      </c>
      <c r="B39" s="1" t="s">
        <v>56</v>
      </c>
      <c r="C39" s="1">
        <v>89.5</v>
      </c>
      <c r="D39" s="1" t="s">
        <v>5</v>
      </c>
      <c r="E39" s="1">
        <v>50</v>
      </c>
      <c r="F39" s="1" t="s">
        <v>7</v>
      </c>
      <c r="G39" s="1">
        <v>35</v>
      </c>
      <c r="H39" s="1" t="s">
        <v>7</v>
      </c>
      <c r="I39" s="1">
        <v>49</v>
      </c>
      <c r="J39" s="1" t="s">
        <v>7</v>
      </c>
      <c r="K39" s="1">
        <v>38</v>
      </c>
      <c r="L39" s="1" t="s">
        <v>5</v>
      </c>
      <c r="M39" s="1">
        <v>10.7</v>
      </c>
      <c r="N39" s="1" t="s">
        <v>9</v>
      </c>
      <c r="O39" s="1">
        <v>26.5</v>
      </c>
      <c r="P39" s="1" t="s">
        <v>7</v>
      </c>
      <c r="Q39" s="1">
        <v>39</v>
      </c>
      <c r="R39" s="1" t="s">
        <v>7</v>
      </c>
      <c r="S39" s="1">
        <v>45.7</v>
      </c>
      <c r="T39" s="1" t="s">
        <v>7</v>
      </c>
      <c r="U39" s="1">
        <v>337.7</v>
      </c>
      <c r="V39" s="1" t="s">
        <v>7</v>
      </c>
    </row>
    <row r="40" ht="15" customHeight="1" spans="1:22">
      <c r="A40" s="1" t="s">
        <v>252</v>
      </c>
      <c r="B40" s="1" t="s">
        <v>56</v>
      </c>
      <c r="C40" s="1">
        <v>82</v>
      </c>
      <c r="D40" s="1" t="s">
        <v>7</v>
      </c>
      <c r="E40" s="1">
        <v>60</v>
      </c>
      <c r="F40" s="1" t="s">
        <v>7</v>
      </c>
      <c r="G40" s="1">
        <v>26.5</v>
      </c>
      <c r="H40" s="1" t="s">
        <v>9</v>
      </c>
      <c r="I40" s="1">
        <v>52.5</v>
      </c>
      <c r="J40" s="1" t="s">
        <v>7</v>
      </c>
      <c r="K40" s="1">
        <v>35.5</v>
      </c>
      <c r="L40" s="1" t="s">
        <v>7</v>
      </c>
      <c r="M40" s="1">
        <v>13.6</v>
      </c>
      <c r="N40" s="1" t="s">
        <v>7</v>
      </c>
      <c r="O40" s="1">
        <v>26.5</v>
      </c>
      <c r="P40" s="1" t="s">
        <v>7</v>
      </c>
      <c r="Q40" s="1">
        <v>32.5</v>
      </c>
      <c r="R40" s="1" t="s">
        <v>7</v>
      </c>
      <c r="S40" s="1">
        <v>40.1</v>
      </c>
      <c r="T40" s="1" t="s">
        <v>7</v>
      </c>
      <c r="U40" s="1">
        <v>329.1</v>
      </c>
      <c r="V40" s="1" t="s">
        <v>7</v>
      </c>
    </row>
    <row r="41" ht="15" customHeight="1" spans="1:22">
      <c r="A41" s="1" t="s">
        <v>257</v>
      </c>
      <c r="B41" s="1" t="s">
        <v>56</v>
      </c>
      <c r="C41" s="1">
        <v>70.5</v>
      </c>
      <c r="D41" s="1" t="s">
        <v>9</v>
      </c>
      <c r="E41" s="1">
        <v>73</v>
      </c>
      <c r="F41" s="1" t="s">
        <v>7</v>
      </c>
      <c r="G41" s="1">
        <v>30</v>
      </c>
      <c r="H41" s="1" t="s">
        <v>7</v>
      </c>
      <c r="I41" s="1">
        <v>40.5</v>
      </c>
      <c r="J41" s="1" t="s">
        <v>9</v>
      </c>
      <c r="K41" s="1">
        <v>29</v>
      </c>
      <c r="L41" s="1" t="s">
        <v>9</v>
      </c>
      <c r="M41" s="1">
        <v>14.7</v>
      </c>
      <c r="N41" s="1" t="s">
        <v>7</v>
      </c>
      <c r="O41" s="1">
        <v>17.5</v>
      </c>
      <c r="P41" s="1" t="s">
        <v>9</v>
      </c>
      <c r="Q41" s="1">
        <v>29.5</v>
      </c>
      <c r="R41" s="1" t="s">
        <v>7</v>
      </c>
      <c r="S41" s="1">
        <v>44.7</v>
      </c>
      <c r="T41" s="1" t="s">
        <v>7</v>
      </c>
      <c r="U41" s="1">
        <v>304.7</v>
      </c>
      <c r="V41" s="1" t="s">
        <v>9</v>
      </c>
    </row>
    <row r="42" ht="15" customHeight="1" spans="1:22">
      <c r="A42" s="1" t="s">
        <v>262</v>
      </c>
      <c r="B42" s="1" t="s">
        <v>56</v>
      </c>
      <c r="C42" s="1">
        <v>85</v>
      </c>
      <c r="D42" s="1" t="s">
        <v>5</v>
      </c>
      <c r="E42" s="1">
        <v>32</v>
      </c>
      <c r="F42" s="1" t="s">
        <v>9</v>
      </c>
      <c r="G42" s="1">
        <v>19.5</v>
      </c>
      <c r="H42" s="1" t="s">
        <v>9</v>
      </c>
      <c r="I42" s="1">
        <v>53</v>
      </c>
      <c r="J42" s="1" t="s">
        <v>7</v>
      </c>
      <c r="K42" s="1">
        <v>39.5</v>
      </c>
      <c r="L42" s="1" t="s">
        <v>5</v>
      </c>
      <c r="M42" s="1">
        <v>13.4</v>
      </c>
      <c r="N42" s="1" t="s">
        <v>7</v>
      </c>
      <c r="O42" s="1">
        <v>17</v>
      </c>
      <c r="P42" s="1" t="s">
        <v>9</v>
      </c>
      <c r="Q42" s="1">
        <v>25</v>
      </c>
      <c r="R42" s="1" t="s">
        <v>9</v>
      </c>
      <c r="S42" s="1">
        <v>32.9</v>
      </c>
      <c r="T42" s="1" t="s">
        <v>9</v>
      </c>
      <c r="U42" s="1">
        <v>284.4</v>
      </c>
      <c r="V42" s="1" t="s">
        <v>9</v>
      </c>
    </row>
    <row r="43" ht="15" customHeight="1" spans="1:22">
      <c r="A43" s="1" t="s">
        <v>267</v>
      </c>
      <c r="B43" s="1" t="s">
        <v>56</v>
      </c>
      <c r="C43" s="1">
        <v>54.5</v>
      </c>
      <c r="D43" s="1" t="s">
        <v>9</v>
      </c>
      <c r="E43" s="1">
        <v>55</v>
      </c>
      <c r="F43" s="1" t="s">
        <v>7</v>
      </c>
      <c r="G43" s="1">
        <v>15</v>
      </c>
      <c r="H43" s="1" t="s">
        <v>9</v>
      </c>
      <c r="I43" s="1">
        <v>37.5</v>
      </c>
      <c r="J43" s="1" t="s">
        <v>9</v>
      </c>
      <c r="K43" s="1">
        <v>29</v>
      </c>
      <c r="L43" s="1" t="s">
        <v>9</v>
      </c>
      <c r="M43" s="1">
        <v>9.1</v>
      </c>
      <c r="N43" s="1" t="s">
        <v>9</v>
      </c>
      <c r="O43" s="1">
        <v>22</v>
      </c>
      <c r="P43" s="1" t="s">
        <v>9</v>
      </c>
      <c r="Q43" s="1">
        <v>27.5</v>
      </c>
      <c r="R43" s="1" t="s">
        <v>9</v>
      </c>
      <c r="S43" s="1">
        <v>24.1</v>
      </c>
      <c r="T43" s="1" t="s">
        <v>9</v>
      </c>
      <c r="U43" s="1">
        <v>249.6</v>
      </c>
      <c r="V43" s="1" t="s">
        <v>9</v>
      </c>
    </row>
    <row r="44" ht="15" customHeight="1" spans="1:22">
      <c r="A44" s="1" t="s">
        <v>272</v>
      </c>
      <c r="B44" s="1" t="s">
        <v>56</v>
      </c>
      <c r="C44" s="1">
        <v>60</v>
      </c>
      <c r="D44" s="1" t="s">
        <v>9</v>
      </c>
      <c r="E44" s="1">
        <v>35</v>
      </c>
      <c r="F44" s="1" t="s">
        <v>9</v>
      </c>
      <c r="G44" s="1">
        <v>19</v>
      </c>
      <c r="H44" s="1" t="s">
        <v>9</v>
      </c>
      <c r="I44" s="1">
        <v>50.5</v>
      </c>
      <c r="J44" s="1" t="s">
        <v>7</v>
      </c>
      <c r="K44" s="1">
        <v>34</v>
      </c>
      <c r="L44" s="1" t="s">
        <v>7</v>
      </c>
      <c r="M44" s="1" t="s">
        <v>406</v>
      </c>
      <c r="N44" s="1" t="s">
        <v>406</v>
      </c>
      <c r="O44" s="1">
        <v>14.5</v>
      </c>
      <c r="P44" s="1" t="s">
        <v>9</v>
      </c>
      <c r="Q44" s="1">
        <v>19.5</v>
      </c>
      <c r="R44" s="1" t="s">
        <v>9</v>
      </c>
      <c r="S44" s="1">
        <v>19</v>
      </c>
      <c r="T44" s="1" t="s">
        <v>9</v>
      </c>
      <c r="U44" s="1">
        <v>232.5</v>
      </c>
      <c r="V44" s="1" t="s">
        <v>406</v>
      </c>
    </row>
    <row r="45" ht="15" customHeight="1" spans="1:22">
      <c r="A45" s="1" t="s">
        <v>277</v>
      </c>
      <c r="B45" s="1" t="s">
        <v>56</v>
      </c>
      <c r="C45" s="1">
        <v>65.5</v>
      </c>
      <c r="D45" s="1" t="s">
        <v>9</v>
      </c>
      <c r="E45" s="1">
        <v>31</v>
      </c>
      <c r="F45" s="1" t="s">
        <v>9</v>
      </c>
      <c r="G45" s="1">
        <v>27</v>
      </c>
      <c r="H45" s="1" t="s">
        <v>9</v>
      </c>
      <c r="I45" s="1">
        <v>24</v>
      </c>
      <c r="J45" s="1" t="s">
        <v>10</v>
      </c>
      <c r="K45" s="1">
        <v>31.5</v>
      </c>
      <c r="L45" s="1" t="s">
        <v>9</v>
      </c>
      <c r="M45" s="1">
        <v>10.9</v>
      </c>
      <c r="N45" s="1" t="s">
        <v>9</v>
      </c>
      <c r="O45" s="1">
        <v>16</v>
      </c>
      <c r="P45" s="1" t="s">
        <v>9</v>
      </c>
      <c r="Q45" s="1">
        <v>25.5</v>
      </c>
      <c r="R45" s="1" t="s">
        <v>9</v>
      </c>
      <c r="S45" s="1">
        <v>37.9</v>
      </c>
      <c r="T45" s="1" t="s">
        <v>9</v>
      </c>
      <c r="U45" s="1">
        <v>231.4</v>
      </c>
      <c r="V45" s="1" t="s">
        <v>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7" master="264781163" otherUserPermission="edit">
    <arrUserId title="Range1" rangeCreator="264781163" othersAccessPermission="visible">
      <userID accessPermission="edit">264781163</userID>
    </arrUserId>
  </rangeList>
  <rangeList sheetStid="18" master="" otherUserPermission="edit"/>
  <rangeList sheetStid="16" master="" otherUserPermission="edit"/>
  <rangeList sheetStid="7" master="" otherUserPermission="edit"/>
  <rangeList sheetStid="8" master="" otherUserPermission="edit"/>
  <rangeList sheetStid="15" master="" otherUserPermission="edit"/>
  <rangeList sheetStid="10" master="" otherUserPermission="edit"/>
  <rangeList sheetStid="11" master="" otherUserPermission="edit"/>
  <rangeList sheetStid="14" master="" otherUserPermission="edit"/>
  <rangeList sheetStid="13" master="" otherUserPermission="edit"/>
  <rangeList sheetStid="1" master="" otherUserPermission="edit"/>
  <rangeList sheetStid="9" master="" otherUserPermission="edit"/>
  <rangeList sheetStid="12" master="" otherUserPermission="edit"/>
  <rangeList sheetStid="2" master="" otherUserPermission="edit"/>
  <rangeList sheetStid="3" master="" otherUserPermission="edit"/>
  <rangeList sheetStid="4" master="" otherUserPermission="edit"/>
  <rangeList sheetStid="5" master="" otherUserPermission="edit"/>
  <rangeList sheetStid="6" master="" otherUserPermission="edit"/>
</allowEditUser>
</file>

<file path=customXml/item2.xml><?xml version="1.0" encoding="utf-8"?>
<woProps xmlns="https://web.wps.cn/et/2018/main" xmlns:s="http://schemas.openxmlformats.org/spreadsheetml/2006/main">
  <woSheetsProps>
    <woSheetProps sheetStid="17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fileId="520267834462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7"/>
  <pixelatorList sheetStid="18"/>
  <pixelatorList sheetStid="16"/>
  <pixelatorList sheetStid="7"/>
  <pixelatorList sheetStid="8"/>
  <pixelatorList sheetStid="15"/>
  <pixelatorList sheetStid="10"/>
  <pixelatorList sheetStid="11"/>
  <pixelatorList sheetStid="14"/>
  <pixelatorList sheetStid="13"/>
  <pixelatorList sheetStid="1"/>
  <pixelatorList sheetStid="9"/>
  <pixelatorList sheetStid="12"/>
  <pixelatorList sheetStid="2"/>
  <pixelatorList sheetStid="3"/>
  <pixelatorList sheetStid="4"/>
  <pixelatorList sheetStid="5"/>
  <pixelatorList sheetStid="6"/>
  <pixelatorList sheetStid="19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等级分布</vt:lpstr>
      <vt:lpstr>各科平均分</vt:lpstr>
      <vt:lpstr>总分成绩</vt:lpstr>
      <vt:lpstr>语文成绩</vt:lpstr>
      <vt:lpstr>数学成绩</vt:lpstr>
      <vt:lpstr>英语成绩</vt:lpstr>
      <vt:lpstr>历史成绩</vt:lpstr>
      <vt:lpstr>道德与法治成绩</vt:lpstr>
      <vt:lpstr>物理成绩</vt:lpstr>
      <vt:lpstr>化学成绩</vt:lpstr>
      <vt:lpstr>原始成绩</vt:lpstr>
      <vt:lpstr>英语笔试成绩</vt:lpstr>
      <vt:lpstr>英语听说成绩</vt:lpstr>
      <vt:lpstr>01</vt:lpstr>
      <vt:lpstr>02</vt:lpstr>
      <vt:lpstr>03</vt:lpstr>
      <vt:lpstr>04</vt:lpstr>
      <vt:lpstr>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46366</cp:lastModifiedBy>
  <dcterms:created xsi:type="dcterms:W3CDTF">2026-05-13T17:37:00Z</dcterms:created>
  <dcterms:modified xsi:type="dcterms:W3CDTF">2026-05-14T09:12:00Z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75426CCA98C5460FB94B0CCC610A34B7_12</vt:lpwstr>
  </property>
  <property fmtid="{D5CDD505-2E9C-101B-9397-08002B2CF9AE}" pid="3" name="KSOProductBuildVer">
    <vt:lpwstr>2052-12.9.0.26427</vt:lpwstr>
  </property>
  <property fmtid="{D5CDD505-2E9C-101B-9397-08002B2CF9AE}" pid="4" name="CalculationRule">
    <vt:i4>0</vt:i4>
  </property>
</Properties>
</file>